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bert\Dropbox\Ämnen\Projekt Utandningsluft\AKAB 2022-2024\Publications\1A_Brief-D (JBR-temp)\"/>
    </mc:Choice>
  </mc:AlternateContent>
  <xr:revisionPtr revIDLastSave="0" documentId="13_ncr:1_{0BAF2BB2-7921-41D3-A36E-4D9F1D3B7A0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in sheet" sheetId="3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38" l="1"/>
  <c r="G25" i="38"/>
  <c r="G4" i="38"/>
  <c r="H4" i="38"/>
  <c r="G5" i="38"/>
  <c r="H5" i="38"/>
  <c r="G6" i="38"/>
  <c r="H6" i="38"/>
  <c r="G7" i="38"/>
  <c r="H7" i="38"/>
  <c r="G8" i="38"/>
  <c r="H8" i="38"/>
  <c r="H3" i="38"/>
  <c r="G3" i="38"/>
  <c r="F13" i="38"/>
  <c r="E13" i="38"/>
  <c r="E14" i="38"/>
  <c r="E15" i="38"/>
  <c r="E16" i="38"/>
  <c r="E17" i="38"/>
  <c r="E18" i="38"/>
  <c r="E19" i="38"/>
  <c r="E20" i="38"/>
  <c r="E21" i="38"/>
  <c r="E12" i="38"/>
  <c r="J13" i="38"/>
  <c r="J14" i="38"/>
  <c r="J15" i="38"/>
  <c r="J16" i="38"/>
  <c r="J17" i="38"/>
  <c r="J18" i="38"/>
  <c r="J19" i="38"/>
  <c r="J20" i="38"/>
  <c r="J21" i="38"/>
  <c r="J12" i="38"/>
  <c r="R4" i="38"/>
  <c r="R5" i="38"/>
  <c r="R6" i="38"/>
  <c r="R7" i="38"/>
  <c r="R3" i="38"/>
  <c r="X4" i="38"/>
  <c r="X5" i="38"/>
  <c r="X6" i="38"/>
  <c r="X7" i="38"/>
  <c r="X3" i="38"/>
  <c r="AD4" i="38"/>
  <c r="AD5" i="38"/>
  <c r="AD6" i="38"/>
  <c r="AD7" i="38"/>
  <c r="AD3" i="38"/>
  <c r="AJ4" i="38"/>
  <c r="AJ5" i="38"/>
  <c r="AJ6" i="38"/>
  <c r="AJ7" i="38"/>
  <c r="AJ3" i="38"/>
  <c r="AK4" i="38"/>
  <c r="F12" i="38"/>
  <c r="K12" i="38"/>
  <c r="K13" i="38"/>
  <c r="K14" i="38"/>
  <c r="K15" i="38"/>
  <c r="K16" i="38"/>
  <c r="K17" i="38"/>
  <c r="K18" i="38"/>
  <c r="K19" i="38"/>
  <c r="K20" i="38"/>
  <c r="K21" i="38"/>
  <c r="F14" i="38"/>
  <c r="F15" i="38"/>
  <c r="F16" i="38"/>
  <c r="F17" i="38"/>
  <c r="F18" i="38"/>
  <c r="F19" i="38"/>
  <c r="F20" i="38"/>
  <c r="F21" i="38"/>
  <c r="I25" i="38"/>
  <c r="D25" i="38"/>
  <c r="C25" i="38"/>
  <c r="B25" i="38"/>
  <c r="I23" i="38"/>
  <c r="H23" i="38"/>
  <c r="G23" i="38"/>
  <c r="D23" i="38"/>
  <c r="C23" i="38"/>
  <c r="B23" i="38"/>
  <c r="I22" i="38"/>
  <c r="H22" i="38"/>
  <c r="G22" i="38"/>
  <c r="D22" i="38"/>
  <c r="C22" i="38"/>
  <c r="B22" i="38"/>
  <c r="AK5" i="38"/>
  <c r="AK6" i="38"/>
  <c r="AK7" i="38"/>
  <c r="AK3" i="38"/>
  <c r="AE4" i="38"/>
  <c r="AE5" i="38"/>
  <c r="AE6" i="38"/>
  <c r="AE7" i="38"/>
  <c r="AE3" i="38"/>
  <c r="Y4" i="38"/>
  <c r="Y5" i="38"/>
  <c r="Y6" i="38"/>
  <c r="Y7" i="38"/>
  <c r="Y3" i="38"/>
  <c r="S3" i="38"/>
  <c r="S4" i="38"/>
  <c r="S5" i="38"/>
  <c r="S6" i="38"/>
  <c r="S7" i="38"/>
  <c r="AI9" i="38"/>
  <c r="AH9" i="38"/>
  <c r="AG9" i="38"/>
  <c r="AC9" i="38"/>
  <c r="AB9" i="38"/>
  <c r="AA9" i="38"/>
  <c r="W9" i="38"/>
  <c r="V9" i="38"/>
  <c r="U9" i="38"/>
  <c r="Q9" i="38"/>
  <c r="P9" i="38"/>
  <c r="O9" i="38"/>
  <c r="AI8" i="38"/>
  <c r="AH8" i="38"/>
  <c r="AG8" i="38"/>
  <c r="AC8" i="38"/>
  <c r="AB8" i="38"/>
  <c r="AA8" i="38"/>
  <c r="W8" i="38"/>
  <c r="V8" i="38"/>
  <c r="U8" i="38"/>
  <c r="Q8" i="38"/>
  <c r="P8" i="38"/>
  <c r="O8" i="38"/>
  <c r="AD8" i="38" l="1"/>
  <c r="J23" i="38"/>
  <c r="E23" i="38"/>
  <c r="AJ9" i="38"/>
  <c r="X9" i="38"/>
  <c r="AJ8" i="38"/>
  <c r="X8" i="38"/>
  <c r="R8" i="38"/>
  <c r="E25" i="38"/>
  <c r="J22" i="38"/>
  <c r="E22" i="38"/>
  <c r="AD9" i="38"/>
  <c r="R9" i="38"/>
  <c r="J25" i="38"/>
  <c r="F22" i="38"/>
  <c r="K23" i="38"/>
  <c r="F23" i="38"/>
  <c r="F25" i="38"/>
  <c r="Y8" i="38"/>
  <c r="Y9" i="38"/>
  <c r="K22" i="38"/>
  <c r="K25" i="38"/>
  <c r="B24" i="38"/>
  <c r="H24" i="38"/>
  <c r="G24" i="38"/>
  <c r="C24" i="38"/>
  <c r="E24" i="38" s="1"/>
  <c r="I24" i="38"/>
  <c r="S9" i="38"/>
  <c r="D24" i="38"/>
  <c r="AE8" i="38"/>
  <c r="AE9" i="38"/>
  <c r="S8" i="38"/>
  <c r="AK8" i="38"/>
  <c r="AK9" i="38"/>
  <c r="P10" i="38"/>
  <c r="AG10" i="38"/>
  <c r="Q10" i="38"/>
  <c r="AA10" i="38"/>
  <c r="AH10" i="38"/>
  <c r="AJ10" i="38" s="1"/>
  <c r="W10" i="38"/>
  <c r="U10" i="38"/>
  <c r="AB10" i="38"/>
  <c r="AD10" i="38" s="1"/>
  <c r="AI10" i="38"/>
  <c r="O10" i="38"/>
  <c r="V10" i="38"/>
  <c r="X10" i="38" s="1"/>
  <c r="AC10" i="38"/>
  <c r="J24" i="38" l="1"/>
  <c r="R10" i="38"/>
  <c r="AK10" i="38"/>
  <c r="F24" i="38"/>
  <c r="K24" i="38"/>
  <c r="Y10" i="38"/>
  <c r="AE10" i="38"/>
  <c r="S10" i="38"/>
</calcChain>
</file>

<file path=xl/sharedStrings.xml><?xml version="1.0" encoding="utf-8"?>
<sst xmlns="http://schemas.openxmlformats.org/spreadsheetml/2006/main" count="109" uniqueCount="34">
  <si>
    <t>Isoprene</t>
  </si>
  <si>
    <t>Mean</t>
  </si>
  <si>
    <t>Stdev</t>
  </si>
  <si>
    <t>Replicate</t>
  </si>
  <si>
    <t>RSD</t>
  </si>
  <si>
    <t>–17°C</t>
  </si>
  <si>
    <t>4°C</t>
  </si>
  <si>
    <t>22°C</t>
  </si>
  <si>
    <r>
      <t>32</t>
    </r>
    <r>
      <rPr>
        <sz val="11"/>
        <color theme="1"/>
        <rFont val="Calibri"/>
        <family val="2"/>
      </rPr>
      <t>°C</t>
    </r>
  </si>
  <si>
    <t>Day 0</t>
  </si>
  <si>
    <t>Day 1</t>
  </si>
  <si>
    <t>Day 3</t>
  </si>
  <si>
    <t>Tedlar</t>
  </si>
  <si>
    <t>Tedlar 1</t>
  </si>
  <si>
    <t>Tedlar 2</t>
  </si>
  <si>
    <t>Tedlar 3</t>
  </si>
  <si>
    <t>Tedlar 4</t>
  </si>
  <si>
    <t>Tedlar 5</t>
  </si>
  <si>
    <t>–17°C and 4°C</t>
  </si>
  <si>
    <t>22°C and 32°C</t>
  </si>
  <si>
    <t>Tedlar 6</t>
  </si>
  <si>
    <t>Tedlar 7</t>
  </si>
  <si>
    <t>Tedlar 8</t>
  </si>
  <si>
    <t>Tedlar 9</t>
  </si>
  <si>
    <t>Tedlar 10</t>
  </si>
  <si>
    <t>Material t-tests</t>
  </si>
  <si>
    <t>Storage temperature</t>
  </si>
  <si>
    <t>3by0</t>
  </si>
  <si>
    <t>1by0</t>
  </si>
  <si>
    <t>Day 1 retention (% of day 0)</t>
  </si>
  <si>
    <t>Day 3 retention (% of day 0)</t>
  </si>
  <si>
    <t>22–32 °C (pooled)</t>
  </si>
  <si>
    <t>−17–4 °C (pooled)</t>
  </si>
  <si>
    <t>32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</si>
</sst>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9" fontId="0" fillId="0" borderId="0" xfId="1" applyFont="1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2" fillId="0" borderId="5" xfId="0" applyFont="1" applyBorder="1"/>
    <xf numFmtId="9" fontId="0" fillId="0" borderId="0" xfId="1" applyFont="1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9" fontId="0" fillId="0" borderId="7" xfId="1" applyFont="1" applyBorder="1"/>
    <xf numFmtId="1" fontId="0" fillId="0" borderId="0" xfId="0" applyNumberFormat="1"/>
    <xf numFmtId="1" fontId="0" fillId="0" borderId="5" xfId="0" applyNumberFormat="1" applyBorder="1"/>
    <xf numFmtId="9" fontId="0" fillId="0" borderId="8" xfId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 applyAlignment="1">
      <alignment horizontal="center"/>
    </xf>
    <xf numFmtId="9" fontId="2" fillId="0" borderId="2" xfId="1" applyFont="1" applyBorder="1"/>
    <xf numFmtId="9" fontId="0" fillId="0" borderId="2" xfId="1" applyFont="1" applyBorder="1"/>
    <xf numFmtId="0" fontId="4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00"/>
      <color rgb="FF0000FF"/>
      <color rgb="FFFFCCFF"/>
      <color rgb="FFFFCCCC"/>
      <color rgb="FFCCFFCC"/>
      <color rgb="FFCCECFF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ert Lundberg" id="{BA54725A-897A-470A-AD64-6A4CAC746085}" userId="S::roblu85@liu.se::51baa9ee-e9c7-41da-a382-fa74de9443b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CD2C-EF4F-4ECA-A4E9-86DF5377C0A3}">
  <dimension ref="A1:AK25"/>
  <sheetViews>
    <sheetView tabSelected="1" workbookViewId="0">
      <selection activeCell="L8" sqref="L8"/>
    </sheetView>
  </sheetViews>
  <sheetFormatPr defaultRowHeight="15" x14ac:dyDescent="0.25"/>
  <cols>
    <col min="2" max="3" width="12.85546875" customWidth="1"/>
    <col min="4" max="5" width="12.85546875" bestFit="1" customWidth="1"/>
  </cols>
  <sheetData>
    <row r="1" spans="1:37" x14ac:dyDescent="0.25">
      <c r="A1" t="s">
        <v>12</v>
      </c>
      <c r="F1" t="s">
        <v>12</v>
      </c>
      <c r="M1" s="29" t="s">
        <v>0</v>
      </c>
      <c r="N1" s="30" t="s">
        <v>5</v>
      </c>
      <c r="O1" s="27"/>
      <c r="P1" s="27"/>
      <c r="Q1" s="27"/>
      <c r="R1" s="1"/>
      <c r="S1" s="1"/>
      <c r="T1" s="30" t="s">
        <v>6</v>
      </c>
      <c r="U1" s="27"/>
      <c r="V1" s="27"/>
      <c r="W1" s="27"/>
      <c r="X1" s="1"/>
      <c r="Y1" s="1"/>
      <c r="Z1" s="27" t="s">
        <v>7</v>
      </c>
      <c r="AA1" s="27"/>
      <c r="AB1" s="27"/>
      <c r="AC1" s="27"/>
      <c r="AD1" s="1"/>
      <c r="AE1" s="1"/>
      <c r="AF1" s="27" t="s">
        <v>8</v>
      </c>
      <c r="AG1" s="27"/>
      <c r="AH1" s="27"/>
      <c r="AI1" s="27"/>
      <c r="AJ1" s="1"/>
    </row>
    <row r="2" spans="1:37" ht="15.75" thickBot="1" x14ac:dyDescent="0.3">
      <c r="A2" t="s">
        <v>26</v>
      </c>
      <c r="B2" t="s">
        <v>29</v>
      </c>
      <c r="C2" t="s">
        <v>30</v>
      </c>
      <c r="F2" t="s">
        <v>26</v>
      </c>
      <c r="G2" t="s">
        <v>29</v>
      </c>
      <c r="H2" t="s">
        <v>30</v>
      </c>
      <c r="M2" s="29"/>
      <c r="N2" t="s">
        <v>3</v>
      </c>
      <c r="O2" t="s">
        <v>9</v>
      </c>
      <c r="P2" t="s">
        <v>10</v>
      </c>
      <c r="Q2" t="s">
        <v>11</v>
      </c>
      <c r="R2" t="s">
        <v>28</v>
      </c>
      <c r="S2" t="s">
        <v>27</v>
      </c>
      <c r="T2" t="s">
        <v>3</v>
      </c>
      <c r="U2" t="s">
        <v>9</v>
      </c>
      <c r="V2" t="s">
        <v>10</v>
      </c>
      <c r="W2" t="s">
        <v>11</v>
      </c>
      <c r="X2" t="s">
        <v>28</v>
      </c>
      <c r="Y2" t="s">
        <v>27</v>
      </c>
      <c r="Z2" t="s">
        <v>3</v>
      </c>
      <c r="AA2" t="s">
        <v>9</v>
      </c>
      <c r="AB2" t="s">
        <v>10</v>
      </c>
      <c r="AC2" t="s">
        <v>11</v>
      </c>
      <c r="AD2" t="s">
        <v>28</v>
      </c>
      <c r="AE2" t="s">
        <v>27</v>
      </c>
      <c r="AF2" t="s">
        <v>3</v>
      </c>
      <c r="AG2" t="s">
        <v>9</v>
      </c>
      <c r="AH2" t="s">
        <v>10</v>
      </c>
      <c r="AI2" t="s">
        <v>11</v>
      </c>
      <c r="AJ2" t="s">
        <v>28</v>
      </c>
      <c r="AK2" t="s">
        <v>27</v>
      </c>
    </row>
    <row r="3" spans="1:37" ht="15.75" thickBot="1" x14ac:dyDescent="0.3">
      <c r="A3" t="s">
        <v>5</v>
      </c>
      <c r="B3">
        <v>0.83047195560093356</v>
      </c>
      <c r="C3">
        <v>1.0213421073029458</v>
      </c>
      <c r="F3" t="s">
        <v>5</v>
      </c>
      <c r="G3" s="17">
        <f>B3*100</f>
        <v>83.047195560093357</v>
      </c>
      <c r="H3" s="17">
        <f>C3*100</f>
        <v>102.13421073029458</v>
      </c>
      <c r="M3" s="28" t="s">
        <v>12</v>
      </c>
      <c r="N3" s="4" t="s">
        <v>13</v>
      </c>
      <c r="O3" s="5">
        <v>74070489</v>
      </c>
      <c r="P3" s="5">
        <v>99159510</v>
      </c>
      <c r="Q3" s="6">
        <v>86768410</v>
      </c>
      <c r="R3" s="24">
        <f>P3/O3</f>
        <v>1.3387181769516872</v>
      </c>
      <c r="S3" s="24">
        <f>Q3/O3</f>
        <v>1.1714302304660091</v>
      </c>
      <c r="T3" s="4" t="s">
        <v>13</v>
      </c>
      <c r="U3" s="5">
        <v>27214664</v>
      </c>
      <c r="V3" s="5">
        <v>125593255</v>
      </c>
      <c r="W3" s="5">
        <v>158980204</v>
      </c>
      <c r="X3" s="24">
        <f>V3/U3</f>
        <v>4.6149111008682668</v>
      </c>
      <c r="Y3" s="24">
        <f>W3/U3</f>
        <v>5.8417110716487262</v>
      </c>
      <c r="Z3" s="4" t="s">
        <v>13</v>
      </c>
      <c r="AA3" s="11">
        <v>119237030</v>
      </c>
      <c r="AB3" s="11">
        <v>132266484</v>
      </c>
      <c r="AC3" s="12">
        <v>97356711</v>
      </c>
      <c r="AD3" s="25">
        <f>AB3/AA3</f>
        <v>1.1092735536938483</v>
      </c>
      <c r="AE3" s="25">
        <f>AC3/AA3</f>
        <v>0.81649728276526179</v>
      </c>
      <c r="AF3" s="4" t="s">
        <v>13</v>
      </c>
      <c r="AG3" s="11">
        <v>34474272</v>
      </c>
      <c r="AH3" s="11">
        <v>10362709</v>
      </c>
      <c r="AI3" s="12">
        <v>34059610</v>
      </c>
      <c r="AJ3" s="9">
        <f>AH3/AG3</f>
        <v>0.30059254043131062</v>
      </c>
      <c r="AK3" s="3">
        <f>AI3/AG3</f>
        <v>0.98797184172591079</v>
      </c>
    </row>
    <row r="4" spans="1:37" ht="15.75" thickBot="1" x14ac:dyDescent="0.3">
      <c r="A4" t="s">
        <v>6</v>
      </c>
      <c r="B4">
        <v>0.90423817105477966</v>
      </c>
      <c r="C4">
        <v>0.96972604250534744</v>
      </c>
      <c r="F4" t="s">
        <v>6</v>
      </c>
      <c r="G4" s="17">
        <f t="shared" ref="G4:G8" si="0">B4*100</f>
        <v>90.423817105477966</v>
      </c>
      <c r="H4" s="17">
        <f t="shared" ref="H4:H8" si="1">C4*100</f>
        <v>96.972604250534744</v>
      </c>
      <c r="M4" s="28"/>
      <c r="N4" s="7" t="s">
        <v>14</v>
      </c>
      <c r="O4" s="2">
        <v>7935079</v>
      </c>
      <c r="P4" s="2">
        <v>83210597</v>
      </c>
      <c r="Q4" s="8">
        <v>132938077</v>
      </c>
      <c r="R4" s="24">
        <f t="shared" ref="R4:R10" si="2">P4/O4</f>
        <v>10.486423260562372</v>
      </c>
      <c r="S4" s="24">
        <f t="shared" ref="S4:S10" si="3">Q4/O4</f>
        <v>16.753214051177057</v>
      </c>
      <c r="T4" s="7" t="s">
        <v>14</v>
      </c>
      <c r="U4" s="2">
        <v>34639577</v>
      </c>
      <c r="V4" s="2">
        <v>78767626</v>
      </c>
      <c r="W4" s="2">
        <v>111509923</v>
      </c>
      <c r="X4" s="24">
        <f t="shared" ref="X4:X10" si="4">V4/U4</f>
        <v>2.2739199730989785</v>
      </c>
      <c r="Y4" s="24">
        <f t="shared" ref="Y4:Y10" si="5">W4/U4</f>
        <v>3.2191479416737683</v>
      </c>
      <c r="Z4" s="7" t="s">
        <v>14</v>
      </c>
      <c r="AA4">
        <v>43687251</v>
      </c>
      <c r="AB4">
        <v>33435326</v>
      </c>
      <c r="AC4" s="13">
        <v>12977214</v>
      </c>
      <c r="AD4" s="25">
        <f t="shared" ref="AD4:AD10" si="6">AB4/AA4</f>
        <v>0.76533371257440763</v>
      </c>
      <c r="AE4" s="25">
        <f t="shared" ref="AE4:AE10" si="7">AC4/AA4</f>
        <v>0.29704807931265803</v>
      </c>
      <c r="AF4" s="7" t="s">
        <v>14</v>
      </c>
      <c r="AG4">
        <v>53449086</v>
      </c>
      <c r="AH4">
        <v>30882203</v>
      </c>
      <c r="AI4" s="13">
        <v>88713944</v>
      </c>
      <c r="AJ4" s="9">
        <f t="shared" ref="AJ4:AJ10" si="8">AH4/AG4</f>
        <v>0.57778729836465303</v>
      </c>
      <c r="AK4" s="3">
        <f>AI4/AG4</f>
        <v>1.6597841167948129</v>
      </c>
    </row>
    <row r="5" spans="1:37" ht="15.75" thickBot="1" x14ac:dyDescent="0.3">
      <c r="A5" t="s">
        <v>7</v>
      </c>
      <c r="B5">
        <v>0.78670342937026672</v>
      </c>
      <c r="C5">
        <v>0.69726692407359003</v>
      </c>
      <c r="F5" t="s">
        <v>7</v>
      </c>
      <c r="G5" s="17">
        <f t="shared" si="0"/>
        <v>78.670342937026675</v>
      </c>
      <c r="H5" s="17">
        <f t="shared" si="1"/>
        <v>69.726692407358996</v>
      </c>
      <c r="M5" s="28"/>
      <c r="N5" s="7" t="s">
        <v>15</v>
      </c>
      <c r="O5">
        <v>69721583</v>
      </c>
      <c r="P5">
        <v>71535416</v>
      </c>
      <c r="Q5" s="13">
        <v>147057821</v>
      </c>
      <c r="R5" s="24">
        <f t="shared" si="2"/>
        <v>1.0260153731736126</v>
      </c>
      <c r="S5" s="24">
        <f t="shared" si="3"/>
        <v>2.1092151765974676</v>
      </c>
      <c r="T5" s="7" t="s">
        <v>15</v>
      </c>
      <c r="U5">
        <v>171174231</v>
      </c>
      <c r="V5">
        <v>76977723</v>
      </c>
      <c r="W5">
        <v>63747256</v>
      </c>
      <c r="X5" s="24">
        <f t="shared" si="4"/>
        <v>0.44970392184790947</v>
      </c>
      <c r="Y5" s="24">
        <f t="shared" si="5"/>
        <v>0.37241152261989713</v>
      </c>
      <c r="Z5" s="7" t="s">
        <v>15</v>
      </c>
      <c r="AA5">
        <v>57762234</v>
      </c>
      <c r="AB5">
        <v>31709306</v>
      </c>
      <c r="AC5" s="13">
        <v>46353041</v>
      </c>
      <c r="AD5" s="25">
        <f t="shared" si="6"/>
        <v>0.5489625972568859</v>
      </c>
      <c r="AE5" s="25">
        <f t="shared" si="7"/>
        <v>0.80248005989519033</v>
      </c>
      <c r="AF5" s="7" t="s">
        <v>15</v>
      </c>
      <c r="AG5">
        <v>160912737</v>
      </c>
      <c r="AH5">
        <v>96512172</v>
      </c>
      <c r="AI5" s="13">
        <v>84430430</v>
      </c>
      <c r="AJ5" s="9">
        <f t="shared" si="8"/>
        <v>0.5997795687236368</v>
      </c>
      <c r="AK5" s="3">
        <f t="shared" ref="AK5:AK10" si="9">AI5/AG5</f>
        <v>0.52469699772740797</v>
      </c>
    </row>
    <row r="6" spans="1:37" ht="15.75" thickBot="1" x14ac:dyDescent="0.3">
      <c r="A6" t="s">
        <v>33</v>
      </c>
      <c r="B6">
        <v>0.59685112878748303</v>
      </c>
      <c r="C6">
        <v>0.6523245992358444</v>
      </c>
      <c r="F6" t="s">
        <v>33</v>
      </c>
      <c r="G6" s="17">
        <f t="shared" si="0"/>
        <v>59.685112878748306</v>
      </c>
      <c r="H6" s="17">
        <f t="shared" si="1"/>
        <v>65.232459923584443</v>
      </c>
      <c r="M6" s="28"/>
      <c r="N6" s="7" t="s">
        <v>16</v>
      </c>
      <c r="O6">
        <v>215890502</v>
      </c>
      <c r="P6">
        <v>90079824</v>
      </c>
      <c r="Q6" s="13">
        <v>119660985</v>
      </c>
      <c r="R6" s="24">
        <f t="shared" si="2"/>
        <v>0.41724773978245694</v>
      </c>
      <c r="S6" s="24">
        <f t="shared" si="3"/>
        <v>0.55426701912064669</v>
      </c>
      <c r="T6" s="7" t="s">
        <v>16</v>
      </c>
      <c r="U6">
        <v>134210564</v>
      </c>
      <c r="V6">
        <v>22572968</v>
      </c>
      <c r="W6">
        <v>59488666</v>
      </c>
      <c r="X6" s="24">
        <f t="shared" si="4"/>
        <v>0.16819069473547552</v>
      </c>
      <c r="Y6" s="24">
        <f t="shared" si="5"/>
        <v>0.44324875946426989</v>
      </c>
      <c r="Z6" s="7" t="s">
        <v>16</v>
      </c>
      <c r="AA6">
        <v>46592365</v>
      </c>
      <c r="AB6">
        <v>12584038</v>
      </c>
      <c r="AC6" s="13">
        <v>18361746</v>
      </c>
      <c r="AD6" s="25">
        <f t="shared" si="6"/>
        <v>0.27008798544568408</v>
      </c>
      <c r="AE6" s="25">
        <f t="shared" si="7"/>
        <v>0.3940934528650778</v>
      </c>
      <c r="AF6" s="7" t="s">
        <v>16</v>
      </c>
      <c r="AG6">
        <v>138906180</v>
      </c>
      <c r="AH6">
        <v>104406951</v>
      </c>
      <c r="AI6" s="13">
        <v>73965176</v>
      </c>
      <c r="AJ6" s="9">
        <f t="shared" si="8"/>
        <v>0.75163647146584833</v>
      </c>
      <c r="AK6" s="3">
        <f t="shared" si="9"/>
        <v>0.53248297519951959</v>
      </c>
    </row>
    <row r="7" spans="1:37" ht="15.75" thickBot="1" x14ac:dyDescent="0.3">
      <c r="A7" s="26" t="s">
        <v>32</v>
      </c>
      <c r="B7">
        <v>0.66509346994848906</v>
      </c>
      <c r="C7">
        <v>0.66847910173453207</v>
      </c>
      <c r="F7" s="26" t="s">
        <v>32</v>
      </c>
      <c r="G7" s="17">
        <f t="shared" si="0"/>
        <v>66.509346994848912</v>
      </c>
      <c r="H7" s="17">
        <f t="shared" si="1"/>
        <v>66.847910173453201</v>
      </c>
      <c r="M7" s="28"/>
      <c r="N7" s="7" t="s">
        <v>17</v>
      </c>
      <c r="O7">
        <v>164235872</v>
      </c>
      <c r="P7">
        <v>97704090</v>
      </c>
      <c r="Q7" s="13">
        <v>56779107</v>
      </c>
      <c r="R7" s="24">
        <f t="shared" si="2"/>
        <v>0.59490103355739476</v>
      </c>
      <c r="S7" s="24">
        <f t="shared" si="3"/>
        <v>0.34571684193328972</v>
      </c>
      <c r="T7" s="7" t="s">
        <v>17</v>
      </c>
      <c r="U7">
        <v>130371625</v>
      </c>
      <c r="V7">
        <v>146046982</v>
      </c>
      <c r="W7">
        <v>88819968</v>
      </c>
      <c r="X7" s="24">
        <f t="shared" si="4"/>
        <v>1.1202359562519835</v>
      </c>
      <c r="Y7" s="24">
        <f t="shared" si="5"/>
        <v>0.68128297089186396</v>
      </c>
      <c r="Z7" s="7" t="s">
        <v>17</v>
      </c>
      <c r="AA7">
        <v>36847102</v>
      </c>
      <c r="AB7">
        <v>29261799</v>
      </c>
      <c r="AC7" s="13">
        <v>37008276</v>
      </c>
      <c r="AD7" s="25">
        <f t="shared" si="6"/>
        <v>0.79414112404280801</v>
      </c>
      <c r="AE7" s="25">
        <f t="shared" si="7"/>
        <v>1.0043741296126898</v>
      </c>
      <c r="AF7" s="7" t="s">
        <v>17</v>
      </c>
      <c r="AG7">
        <v>154219617</v>
      </c>
      <c r="AH7">
        <v>81306532</v>
      </c>
      <c r="AI7" s="13">
        <v>72365914</v>
      </c>
      <c r="AJ7" s="9">
        <f t="shared" si="8"/>
        <v>0.52721264377151189</v>
      </c>
      <c r="AK7" s="3">
        <f t="shared" si="9"/>
        <v>0.4692393575325764</v>
      </c>
    </row>
    <row r="8" spans="1:37" ht="15.75" thickBot="1" x14ac:dyDescent="0.3">
      <c r="A8" s="26" t="s">
        <v>31</v>
      </c>
      <c r="B8">
        <v>0.86612822779635779</v>
      </c>
      <c r="C8">
        <v>0.99639252239125498</v>
      </c>
      <c r="F8" s="26" t="s">
        <v>31</v>
      </c>
      <c r="G8" s="17">
        <f t="shared" si="0"/>
        <v>86.612822779635778</v>
      </c>
      <c r="H8" s="17">
        <f t="shared" si="1"/>
        <v>99.639252239125497</v>
      </c>
      <c r="M8" s="28"/>
      <c r="N8" s="7" t="s">
        <v>1</v>
      </c>
      <c r="O8">
        <f>AVERAGE(O3:O7)</f>
        <v>106370705</v>
      </c>
      <c r="P8">
        <f>AVERAGE(P3:P7)</f>
        <v>88337887.400000006</v>
      </c>
      <c r="Q8" s="13">
        <f>AVERAGE(Q3:Q7)</f>
        <v>108640880</v>
      </c>
      <c r="R8" s="24">
        <f t="shared" si="2"/>
        <v>0.83047195560093356</v>
      </c>
      <c r="S8" s="24">
        <f>Q8/O8</f>
        <v>1.0213421073029458</v>
      </c>
      <c r="T8" s="7" t="s">
        <v>1</v>
      </c>
      <c r="U8">
        <f>AVERAGE(U3:U7)</f>
        <v>99522132.200000003</v>
      </c>
      <c r="V8">
        <f t="shared" ref="V8:W8" si="10">AVERAGE(V3:V7)</f>
        <v>89991710.799999997</v>
      </c>
      <c r="W8">
        <f t="shared" si="10"/>
        <v>96509203.400000006</v>
      </c>
      <c r="X8" s="24">
        <f t="shared" si="4"/>
        <v>0.90423817105477966</v>
      </c>
      <c r="Y8" s="24">
        <f t="shared" si="5"/>
        <v>0.96972604250534744</v>
      </c>
      <c r="Z8" s="7" t="s">
        <v>1</v>
      </c>
      <c r="AA8" s="17">
        <f>AVERAGE(AA3:AA7)</f>
        <v>60825196.399999999</v>
      </c>
      <c r="AB8" s="17">
        <f t="shared" ref="AB8:AC8" si="11">AVERAGE(AB3:AB7)</f>
        <v>47851390.600000001</v>
      </c>
      <c r="AC8" s="18">
        <f t="shared" si="11"/>
        <v>42411397.600000001</v>
      </c>
      <c r="AD8" s="25">
        <f t="shared" si="6"/>
        <v>0.78670342937026672</v>
      </c>
      <c r="AE8" s="25">
        <f t="shared" si="7"/>
        <v>0.69726692407359003</v>
      </c>
      <c r="AF8" s="7" t="s">
        <v>1</v>
      </c>
      <c r="AG8" s="17">
        <f>AVERAGE(AG3:AG7)</f>
        <v>108392378.40000001</v>
      </c>
      <c r="AH8" s="17">
        <f t="shared" ref="AH8:AI8" si="12">AVERAGE(AH3:AH7)</f>
        <v>64694113.399999999</v>
      </c>
      <c r="AI8" s="18">
        <f t="shared" si="12"/>
        <v>70707014.799999997</v>
      </c>
      <c r="AJ8" s="9">
        <f t="shared" si="8"/>
        <v>0.59685112878748303</v>
      </c>
      <c r="AK8" s="3">
        <f t="shared" si="9"/>
        <v>0.6523245992358444</v>
      </c>
    </row>
    <row r="9" spans="1:37" ht="15.75" thickBot="1" x14ac:dyDescent="0.3">
      <c r="M9" s="28"/>
      <c r="N9" s="7" t="s">
        <v>2</v>
      </c>
      <c r="O9">
        <f>STDEVA(O3:O7)</f>
        <v>82793414.668511689</v>
      </c>
      <c r="P9">
        <f t="shared" ref="P9:Q9" si="13">STDEVA(P3:P7)</f>
        <v>11363095.550434837</v>
      </c>
      <c r="Q9" s="13">
        <f t="shared" si="13"/>
        <v>36591345.611598298</v>
      </c>
      <c r="R9" s="24">
        <f t="shared" si="2"/>
        <v>0.1372463691216313</v>
      </c>
      <c r="S9" s="24">
        <f t="shared" si="3"/>
        <v>0.44195961427732805</v>
      </c>
      <c r="T9" s="7" t="s">
        <v>2</v>
      </c>
      <c r="U9">
        <f>STDEVA(U3:U7)</f>
        <v>64666679.395150095</v>
      </c>
      <c r="V9">
        <f>STDEVA(V3:V7)</f>
        <v>48089224.930120237</v>
      </c>
      <c r="W9">
        <f>STDEVA(W3:W7)</f>
        <v>40714362.430059031</v>
      </c>
      <c r="X9" s="24">
        <f t="shared" si="4"/>
        <v>0.74364766182391695</v>
      </c>
      <c r="Y9" s="24">
        <f t="shared" si="5"/>
        <v>0.62960341880663429</v>
      </c>
      <c r="Z9" s="7" t="s">
        <v>2</v>
      </c>
      <c r="AA9" s="17">
        <f>STDEVA(AA3:AA7)</f>
        <v>33513264.972348709</v>
      </c>
      <c r="AB9" s="17">
        <f t="shared" ref="AB9:AC9" si="14">STDEVA(AB3:AB7)</f>
        <v>47915699.104738027</v>
      </c>
      <c r="AC9" s="18">
        <f t="shared" si="14"/>
        <v>33572587.949922994</v>
      </c>
      <c r="AD9" s="25">
        <f t="shared" si="6"/>
        <v>1.4297532378379889</v>
      </c>
      <c r="AE9" s="25">
        <f t="shared" si="7"/>
        <v>1.001770134232616</v>
      </c>
      <c r="AF9" s="7" t="s">
        <v>2</v>
      </c>
      <c r="AG9">
        <f>STDEVA(AG3:AG7)</f>
        <v>59733298.474912018</v>
      </c>
      <c r="AH9">
        <f t="shared" ref="AH9:AI9" si="15">STDEVA(AH3:AH7)</f>
        <v>41715157.808740817</v>
      </c>
      <c r="AI9" s="13">
        <f t="shared" si="15"/>
        <v>21615859.128782112</v>
      </c>
      <c r="AJ9" s="9">
        <f t="shared" si="8"/>
        <v>0.69835684406849186</v>
      </c>
      <c r="AK9" s="3">
        <f t="shared" si="9"/>
        <v>0.36187285284205045</v>
      </c>
    </row>
    <row r="10" spans="1:37" ht="15.75" thickBot="1" x14ac:dyDescent="0.3">
      <c r="B10" s="30" t="s">
        <v>18</v>
      </c>
      <c r="C10" s="30"/>
      <c r="D10" s="30"/>
      <c r="E10" s="23"/>
      <c r="F10" s="23"/>
      <c r="G10" s="27" t="s">
        <v>19</v>
      </c>
      <c r="H10" s="27"/>
      <c r="I10" s="27"/>
      <c r="J10" s="1"/>
      <c r="M10" s="28"/>
      <c r="N10" s="10" t="s">
        <v>4</v>
      </c>
      <c r="O10" s="16">
        <f>O9/O8</f>
        <v>0.77834789821607075</v>
      </c>
      <c r="P10" s="16">
        <f t="shared" ref="P10:Q10" si="16">P9/P8</f>
        <v>0.12863218585907496</v>
      </c>
      <c r="Q10" s="19">
        <f t="shared" si="16"/>
        <v>0.33681009958312469</v>
      </c>
      <c r="R10" s="24">
        <f t="shared" si="2"/>
        <v>0.16526309912815676</v>
      </c>
      <c r="S10" s="24">
        <f t="shared" si="3"/>
        <v>0.43272436445845663</v>
      </c>
      <c r="T10" s="10" t="s">
        <v>4</v>
      </c>
      <c r="U10" s="9">
        <f>U9/U8</f>
        <v>0.64977184436920754</v>
      </c>
      <c r="V10" s="9">
        <f t="shared" ref="V10:W10" si="17">V9/V8</f>
        <v>0.5343739384730114</v>
      </c>
      <c r="W10" s="9">
        <f t="shared" si="17"/>
        <v>0.42187025688431939</v>
      </c>
      <c r="X10" s="24">
        <f t="shared" si="4"/>
        <v>0.82240242187129031</v>
      </c>
      <c r="Y10" s="24">
        <f t="shared" si="5"/>
        <v>0.64925905999184552</v>
      </c>
      <c r="Z10" s="10" t="s">
        <v>4</v>
      </c>
      <c r="AA10" s="16">
        <f>AA9/AA8</f>
        <v>0.55097668328036353</v>
      </c>
      <c r="AB10" s="16">
        <f t="shared" ref="AB10:AC10" si="18">AB9/AB8</f>
        <v>1.0013439213350264</v>
      </c>
      <c r="AC10" s="19">
        <f t="shared" si="18"/>
        <v>0.79159353027128232</v>
      </c>
      <c r="AD10" s="25">
        <f t="shared" si="6"/>
        <v>1.8173979983568456</v>
      </c>
      <c r="AE10" s="25">
        <f t="shared" si="7"/>
        <v>1.4367096726459498</v>
      </c>
      <c r="AF10" s="10" t="s">
        <v>4</v>
      </c>
      <c r="AG10" s="16">
        <f>AG9/AG8</f>
        <v>0.55108393557412716</v>
      </c>
      <c r="AH10" s="16">
        <f t="shared" ref="AH10:AI10" si="19">AH9/AH8</f>
        <v>0.64480608229095571</v>
      </c>
      <c r="AI10" s="19">
        <f t="shared" si="19"/>
        <v>0.30571024939921682</v>
      </c>
      <c r="AJ10" s="9">
        <f t="shared" si="8"/>
        <v>1.1700687330309991</v>
      </c>
      <c r="AK10" s="3">
        <f t="shared" si="9"/>
        <v>0.5547435329986955</v>
      </c>
    </row>
    <row r="11" spans="1:37" ht="15.75" thickBot="1" x14ac:dyDescent="0.3">
      <c r="A11" t="s">
        <v>3</v>
      </c>
      <c r="B11" t="s">
        <v>9</v>
      </c>
      <c r="C11" t="s">
        <v>10</v>
      </c>
      <c r="D11" t="s">
        <v>11</v>
      </c>
      <c r="E11" t="s">
        <v>28</v>
      </c>
      <c r="F11" t="s">
        <v>27</v>
      </c>
      <c r="G11" t="s">
        <v>9</v>
      </c>
      <c r="H11" t="s">
        <v>10</v>
      </c>
      <c r="I11" t="s">
        <v>11</v>
      </c>
      <c r="J11" t="s">
        <v>28</v>
      </c>
      <c r="K11" t="s">
        <v>27</v>
      </c>
    </row>
    <row r="12" spans="1:37" ht="15.75" thickBot="1" x14ac:dyDescent="0.3">
      <c r="A12" s="20" t="s">
        <v>13</v>
      </c>
      <c r="B12" s="5">
        <v>74070489</v>
      </c>
      <c r="C12" s="5">
        <v>99159510</v>
      </c>
      <c r="D12" s="6">
        <v>86768410</v>
      </c>
      <c r="E12" s="24">
        <f>C12/B12</f>
        <v>1.3387181769516872</v>
      </c>
      <c r="F12" s="24">
        <f>D12/B12</f>
        <v>1.1714302304660091</v>
      </c>
      <c r="G12" s="4">
        <v>119237030</v>
      </c>
      <c r="H12" s="11">
        <v>132266484</v>
      </c>
      <c r="I12" s="12">
        <v>97356711</v>
      </c>
      <c r="J12" s="9">
        <f>H12/G12</f>
        <v>1.1092735536938483</v>
      </c>
      <c r="K12" s="3">
        <f>I12/G12</f>
        <v>0.81649728276526179</v>
      </c>
    </row>
    <row r="13" spans="1:37" ht="15.75" thickBot="1" x14ac:dyDescent="0.3">
      <c r="A13" s="21" t="s">
        <v>14</v>
      </c>
      <c r="B13" s="2">
        <v>7935079</v>
      </c>
      <c r="C13" s="2">
        <v>83210597</v>
      </c>
      <c r="D13" s="8">
        <v>132938077</v>
      </c>
      <c r="E13" s="24">
        <f t="shared" ref="E13:E25" si="20">C13/B13</f>
        <v>10.486423260562372</v>
      </c>
      <c r="F13" s="24">
        <f>D13/B13</f>
        <v>16.753214051177057</v>
      </c>
      <c r="G13" s="7">
        <v>43687251</v>
      </c>
      <c r="H13">
        <v>33435326</v>
      </c>
      <c r="I13" s="13">
        <v>12977214</v>
      </c>
      <c r="J13" s="9">
        <f t="shared" ref="J13:J25" si="21">H13/G13</f>
        <v>0.76533371257440763</v>
      </c>
      <c r="K13" s="3">
        <f t="shared" ref="K13:K25" si="22">I13/G13</f>
        <v>0.29704807931265803</v>
      </c>
    </row>
    <row r="14" spans="1:37" ht="15.75" thickBot="1" x14ac:dyDescent="0.3">
      <c r="A14" s="21" t="s">
        <v>15</v>
      </c>
      <c r="B14">
        <v>69721583</v>
      </c>
      <c r="C14">
        <v>71535416</v>
      </c>
      <c r="D14" s="13">
        <v>147057821</v>
      </c>
      <c r="E14" s="24">
        <f t="shared" si="20"/>
        <v>1.0260153731736126</v>
      </c>
      <c r="F14" s="24">
        <f t="shared" ref="F14:F25" si="23">D14/B14</f>
        <v>2.1092151765974676</v>
      </c>
      <c r="G14" s="7">
        <v>57762234</v>
      </c>
      <c r="H14">
        <v>31709306</v>
      </c>
      <c r="I14" s="13">
        <v>46353041</v>
      </c>
      <c r="J14" s="9">
        <f t="shared" si="21"/>
        <v>0.5489625972568859</v>
      </c>
      <c r="K14" s="3">
        <f t="shared" si="22"/>
        <v>0.80248005989519033</v>
      </c>
    </row>
    <row r="15" spans="1:37" ht="15.75" thickBot="1" x14ac:dyDescent="0.3">
      <c r="A15" s="21" t="s">
        <v>16</v>
      </c>
      <c r="B15">
        <v>215890502</v>
      </c>
      <c r="C15">
        <v>90079824</v>
      </c>
      <c r="D15" s="13">
        <v>119660985</v>
      </c>
      <c r="E15" s="24">
        <f t="shared" si="20"/>
        <v>0.41724773978245694</v>
      </c>
      <c r="F15" s="24">
        <f t="shared" si="23"/>
        <v>0.55426701912064669</v>
      </c>
      <c r="G15" s="7">
        <v>46592365</v>
      </c>
      <c r="H15">
        <v>12584038</v>
      </c>
      <c r="I15" s="13">
        <v>18361746</v>
      </c>
      <c r="J15" s="9">
        <f t="shared" si="21"/>
        <v>0.27008798544568408</v>
      </c>
      <c r="K15" s="3">
        <f t="shared" si="22"/>
        <v>0.3940934528650778</v>
      </c>
    </row>
    <row r="16" spans="1:37" ht="15.75" thickBot="1" x14ac:dyDescent="0.3">
      <c r="A16" s="21" t="s">
        <v>17</v>
      </c>
      <c r="B16">
        <v>164235872</v>
      </c>
      <c r="C16">
        <v>97704090</v>
      </c>
      <c r="D16" s="13">
        <v>56779107</v>
      </c>
      <c r="E16" s="24">
        <f t="shared" si="20"/>
        <v>0.59490103355739476</v>
      </c>
      <c r="F16" s="24">
        <f t="shared" si="23"/>
        <v>0.34571684193328972</v>
      </c>
      <c r="G16" s="7">
        <v>36847102</v>
      </c>
      <c r="H16">
        <v>29261799</v>
      </c>
      <c r="I16" s="13">
        <v>37008276</v>
      </c>
      <c r="J16" s="9">
        <f t="shared" si="21"/>
        <v>0.79414112404280801</v>
      </c>
      <c r="K16" s="3">
        <f t="shared" si="22"/>
        <v>1.0043741296126898</v>
      </c>
    </row>
    <row r="17" spans="1:11" ht="15.75" thickBot="1" x14ac:dyDescent="0.3">
      <c r="A17" s="21" t="s">
        <v>20</v>
      </c>
      <c r="B17" s="2">
        <v>27214664</v>
      </c>
      <c r="C17" s="2">
        <v>125593255</v>
      </c>
      <c r="D17" s="8">
        <v>158980204</v>
      </c>
      <c r="E17" s="24">
        <f t="shared" si="20"/>
        <v>4.6149111008682668</v>
      </c>
      <c r="F17" s="24">
        <f t="shared" si="23"/>
        <v>5.8417110716487262</v>
      </c>
      <c r="G17" s="7">
        <v>34474272</v>
      </c>
      <c r="H17">
        <v>10362709</v>
      </c>
      <c r="I17" s="13">
        <v>34059610</v>
      </c>
      <c r="J17" s="9">
        <f t="shared" si="21"/>
        <v>0.30059254043131062</v>
      </c>
      <c r="K17" s="3">
        <f t="shared" si="22"/>
        <v>0.98797184172591079</v>
      </c>
    </row>
    <row r="18" spans="1:11" ht="15.75" thickBot="1" x14ac:dyDescent="0.3">
      <c r="A18" s="21" t="s">
        <v>21</v>
      </c>
      <c r="B18" s="2">
        <v>34639577</v>
      </c>
      <c r="C18" s="2">
        <v>78767626</v>
      </c>
      <c r="D18" s="8">
        <v>111509923</v>
      </c>
      <c r="E18" s="24">
        <f t="shared" si="20"/>
        <v>2.2739199730989785</v>
      </c>
      <c r="F18" s="24">
        <f t="shared" si="23"/>
        <v>3.2191479416737683</v>
      </c>
      <c r="G18" s="7">
        <v>53449086</v>
      </c>
      <c r="H18">
        <v>30882203</v>
      </c>
      <c r="I18" s="13">
        <v>88713944</v>
      </c>
      <c r="J18" s="9">
        <f t="shared" si="21"/>
        <v>0.57778729836465303</v>
      </c>
      <c r="K18" s="3">
        <f t="shared" si="22"/>
        <v>1.6597841167948129</v>
      </c>
    </row>
    <row r="19" spans="1:11" ht="15.75" thickBot="1" x14ac:dyDescent="0.3">
      <c r="A19" s="21" t="s">
        <v>22</v>
      </c>
      <c r="B19">
        <v>171174231</v>
      </c>
      <c r="C19">
        <v>76977723</v>
      </c>
      <c r="D19" s="13">
        <v>63747256</v>
      </c>
      <c r="E19" s="24">
        <f t="shared" si="20"/>
        <v>0.44970392184790947</v>
      </c>
      <c r="F19" s="24">
        <f t="shared" si="23"/>
        <v>0.37241152261989713</v>
      </c>
      <c r="G19" s="7">
        <v>160912737</v>
      </c>
      <c r="H19">
        <v>96512172</v>
      </c>
      <c r="I19" s="13">
        <v>84430430</v>
      </c>
      <c r="J19" s="9">
        <f t="shared" si="21"/>
        <v>0.5997795687236368</v>
      </c>
      <c r="K19" s="3">
        <f t="shared" si="22"/>
        <v>0.52469699772740797</v>
      </c>
    </row>
    <row r="20" spans="1:11" ht="15.75" thickBot="1" x14ac:dyDescent="0.3">
      <c r="A20" s="21" t="s">
        <v>23</v>
      </c>
      <c r="B20">
        <v>134210564</v>
      </c>
      <c r="C20">
        <v>22572968</v>
      </c>
      <c r="D20" s="13">
        <v>59488666</v>
      </c>
      <c r="E20" s="24">
        <f t="shared" si="20"/>
        <v>0.16819069473547552</v>
      </c>
      <c r="F20" s="24">
        <f t="shared" si="23"/>
        <v>0.44324875946426989</v>
      </c>
      <c r="G20" s="7">
        <v>138906180</v>
      </c>
      <c r="H20">
        <v>104406951</v>
      </c>
      <c r="I20" s="13">
        <v>73965176</v>
      </c>
      <c r="J20" s="9">
        <f t="shared" si="21"/>
        <v>0.75163647146584833</v>
      </c>
      <c r="K20" s="3">
        <f t="shared" si="22"/>
        <v>0.53248297519951959</v>
      </c>
    </row>
    <row r="21" spans="1:11" ht="15.75" thickBot="1" x14ac:dyDescent="0.3">
      <c r="A21" s="21" t="s">
        <v>24</v>
      </c>
      <c r="B21">
        <v>130371625</v>
      </c>
      <c r="C21">
        <v>146046982</v>
      </c>
      <c r="D21" s="13">
        <v>88819968</v>
      </c>
      <c r="E21" s="24">
        <f t="shared" si="20"/>
        <v>1.1202359562519835</v>
      </c>
      <c r="F21" s="24">
        <f t="shared" si="23"/>
        <v>0.68128297089186396</v>
      </c>
      <c r="G21" s="7">
        <v>154219617</v>
      </c>
      <c r="H21">
        <v>81306532</v>
      </c>
      <c r="I21" s="13">
        <v>72365914</v>
      </c>
      <c r="J21" s="9">
        <f t="shared" si="21"/>
        <v>0.52721264377151189</v>
      </c>
      <c r="K21" s="3">
        <f t="shared" si="22"/>
        <v>0.4692393575325764</v>
      </c>
    </row>
    <row r="22" spans="1:11" ht="15.75" thickBot="1" x14ac:dyDescent="0.3">
      <c r="A22" s="21" t="s">
        <v>1</v>
      </c>
      <c r="B22">
        <f t="shared" ref="B22:I22" si="24">AVERAGE(B12:B21)</f>
        <v>102946418.59999999</v>
      </c>
      <c r="C22">
        <f t="shared" si="24"/>
        <v>89164799.099999994</v>
      </c>
      <c r="D22" s="13">
        <f t="shared" si="24"/>
        <v>102575041.7</v>
      </c>
      <c r="E22" s="24">
        <f t="shared" si="20"/>
        <v>0.86612822779635779</v>
      </c>
      <c r="F22" s="24">
        <f t="shared" si="23"/>
        <v>0.99639252239125498</v>
      </c>
      <c r="G22">
        <f t="shared" si="24"/>
        <v>84608787.400000006</v>
      </c>
      <c r="H22">
        <f t="shared" si="24"/>
        <v>56272752</v>
      </c>
      <c r="I22" s="13">
        <f t="shared" si="24"/>
        <v>56559206.200000003</v>
      </c>
      <c r="J22" s="9">
        <f>H22/G22</f>
        <v>0.66509346994848906</v>
      </c>
      <c r="K22" s="3">
        <f t="shared" si="22"/>
        <v>0.66847910173453207</v>
      </c>
    </row>
    <row r="23" spans="1:11" ht="15.75" thickBot="1" x14ac:dyDescent="0.3">
      <c r="A23" s="21" t="s">
        <v>2</v>
      </c>
      <c r="B23">
        <f t="shared" ref="B23:I23" si="25">STDEVA(B12:B21)</f>
        <v>70129541.341847658</v>
      </c>
      <c r="C23">
        <f t="shared" si="25"/>
        <v>32953859.677953087</v>
      </c>
      <c r="D23" s="13">
        <f t="shared" si="25"/>
        <v>37049947.473095171</v>
      </c>
      <c r="E23" s="24">
        <f t="shared" si="20"/>
        <v>0.46989983176018407</v>
      </c>
      <c r="F23" s="24">
        <f t="shared" si="23"/>
        <v>0.52830728340991939</v>
      </c>
      <c r="G23">
        <f t="shared" si="25"/>
        <v>52091175.955404215</v>
      </c>
      <c r="H23">
        <f t="shared" si="25"/>
        <v>43273635.449453607</v>
      </c>
      <c r="I23" s="13">
        <f t="shared" si="25"/>
        <v>30512403.656263769</v>
      </c>
      <c r="J23" s="9">
        <f t="shared" si="21"/>
        <v>0.83072871087611089</v>
      </c>
      <c r="K23" s="3">
        <f t="shared" si="22"/>
        <v>0.58574994894309451</v>
      </c>
    </row>
    <row r="24" spans="1:11" ht="15.75" thickBot="1" x14ac:dyDescent="0.3">
      <c r="A24" s="22" t="s">
        <v>4</v>
      </c>
      <c r="B24" s="16">
        <f>B23/B22</f>
        <v>0.68122371128166337</v>
      </c>
      <c r="C24" s="16">
        <f t="shared" ref="C24" si="26">C23/C22</f>
        <v>0.36958373719874271</v>
      </c>
      <c r="D24" s="19">
        <f>D23/D22</f>
        <v>0.36119846367164743</v>
      </c>
      <c r="E24" s="24">
        <f t="shared" si="20"/>
        <v>0.54252917371798892</v>
      </c>
      <c r="F24" s="24">
        <f t="shared" si="23"/>
        <v>0.53022004033312908</v>
      </c>
      <c r="G24" s="16">
        <f>G23/G22</f>
        <v>0.61567099063996522</v>
      </c>
      <c r="H24" s="16">
        <f t="shared" ref="H24:I24" si="27">H23/H22</f>
        <v>0.76899803033364367</v>
      </c>
      <c r="I24" s="19">
        <f t="shared" si="27"/>
        <v>0.53947722583602609</v>
      </c>
      <c r="J24" s="9">
        <f t="shared" si="21"/>
        <v>1.2490405460460321</v>
      </c>
      <c r="K24" s="3">
        <f t="shared" si="22"/>
        <v>0.87624272385363033</v>
      </c>
    </row>
    <row r="25" spans="1:11" ht="15.75" thickBot="1" x14ac:dyDescent="0.3">
      <c r="A25" s="22" t="s">
        <v>25</v>
      </c>
      <c r="B25" s="10">
        <f>_xlfn.T.TEST(D12:D21,B12:B21,2,1)</f>
        <v>0.9906050247421192</v>
      </c>
      <c r="C25" s="14">
        <f>_xlfn.T.TEST(C12:C21,B12:B21,2,1)</f>
        <v>0.59996581544744221</v>
      </c>
      <c r="D25" s="15">
        <f>_xlfn.T.TEST(D12:D21,C12:C21,2,1)</f>
        <v>0.34195827255098432</v>
      </c>
      <c r="E25" s="24">
        <f t="shared" si="20"/>
        <v>0.60565593799973838</v>
      </c>
      <c r="F25" s="24">
        <f t="shared" si="23"/>
        <v>0.34520143145852217</v>
      </c>
      <c r="G25" s="10">
        <f>_xlfn.T.TEST(I12:I21,G12:G21,2,1)</f>
        <v>4.1169896654800267E-2</v>
      </c>
      <c r="H25" s="14">
        <f>_xlfn.T.TEST(H12:H21,G12:G21,2,1)</f>
        <v>6.6731388174290605E-3</v>
      </c>
      <c r="I25" s="15">
        <f>_xlfn.T.TEST(I12:I21,H12:H21,2,1)</f>
        <v>0.97480271822555919</v>
      </c>
      <c r="J25" s="9">
        <f t="shared" si="21"/>
        <v>0.16208782046216275</v>
      </c>
      <c r="K25" s="3">
        <f t="shared" si="22"/>
        <v>23.677560485493728</v>
      </c>
    </row>
  </sheetData>
  <mergeCells count="8">
    <mergeCell ref="B10:D10"/>
    <mergeCell ref="G10:I10"/>
    <mergeCell ref="M1:M2"/>
    <mergeCell ref="N1:Q1"/>
    <mergeCell ref="T1:W1"/>
    <mergeCell ref="Z1:AC1"/>
    <mergeCell ref="AF1:AI1"/>
    <mergeCell ref="M3:M10"/>
  </mergeCells>
  <conditionalFormatting sqref="A17:A21">
    <cfRule type="cellIs" dxfId="4" priority="23" operator="lessThan">
      <formula>0.05</formula>
    </cfRule>
  </conditionalFormatting>
  <conditionalFormatting sqref="A25:D25">
    <cfRule type="cellIs" dxfId="3" priority="22" operator="lessThan">
      <formula>0.05</formula>
    </cfRule>
  </conditionalFormatting>
  <conditionalFormatting sqref="A12:J12 A13:D21 G13:I21 J13:J25">
    <cfRule type="cellIs" dxfId="2" priority="24" operator="lessThan">
      <formula>0.05</formula>
    </cfRule>
  </conditionalFormatting>
  <conditionalFormatting sqref="B22:D22 G22:I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{E3DD2036-0222-4114-AAFE-53A6C90AEFDD}</x14:id>
        </ext>
      </extLst>
    </cfRule>
  </conditionalFormatting>
  <conditionalFormatting sqref="B23:D23 G23:I23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{47B738EC-7195-48EF-B0E7-BE38D9518C55}</x14:id>
        </ext>
      </extLst>
    </cfRule>
  </conditionalFormatting>
  <conditionalFormatting sqref="B24:D24 G24:I24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{DFEB5E85-E0E7-4287-BC03-11DEA0CFA92A}</x14:id>
        </ext>
      </extLst>
    </cfRule>
  </conditionalFormatting>
  <conditionalFormatting sqref="E13:F25">
    <cfRule type="cellIs" dxfId="1" priority="3" operator="lessThan">
      <formula>0.05</formula>
    </cfRule>
  </conditionalFormatting>
  <conditionalFormatting sqref="G25:I25">
    <cfRule type="cellIs" dxfId="0" priority="21" operator="lessThan">
      <formula>0.05</formula>
    </cfRule>
  </conditionalFormatting>
  <conditionalFormatting sqref="O3:O7">
    <cfRule type="dataBar" priority="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{2782942C-F932-43C1-9B5B-2200AB46C331}</x14:id>
        </ext>
      </extLst>
    </cfRule>
  </conditionalFormatting>
  <conditionalFormatting sqref="O8:Q8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{66B6716A-5101-42FC-9E3E-7DA403927973}</x14:id>
        </ext>
      </extLst>
    </cfRule>
  </conditionalFormatting>
  <conditionalFormatting sqref="O9:Q9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{99C9EEEB-8623-483F-B4B4-3C9900E213B4}</x14:id>
        </ext>
      </extLst>
    </cfRule>
  </conditionalFormatting>
  <conditionalFormatting sqref="O10:Q10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{F8A20564-6290-4077-AE07-48E4104D9699}</x14:id>
        </ext>
      </extLst>
    </cfRule>
  </conditionalFormatting>
  <conditionalFormatting sqref="P3:P7">
    <cfRule type="dataBar" priority="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{BBA9AB64-6C8A-4406-B8F4-00C9EF191D6A}</x14:id>
        </ext>
      </extLst>
    </cfRule>
  </conditionalFormatting>
  <conditionalFormatting sqref="U3:U7">
    <cfRule type="dataBar" priority="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{6C306F9D-10CB-4582-8EDB-FE8E1F25B4D1}</x14:id>
        </ext>
      </extLst>
    </cfRule>
  </conditionalFormatting>
  <conditionalFormatting sqref="U8:W8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{E4445F0F-A6CA-4113-954B-585453222503}</x14:id>
        </ext>
      </extLst>
    </cfRule>
  </conditionalFormatting>
  <conditionalFormatting sqref="U9:W9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{7C16EFFA-8C94-4ABD-B937-7534F9931C87}</x14:id>
        </ext>
      </extLst>
    </cfRule>
  </conditionalFormatting>
  <conditionalFormatting sqref="U10:W10">
    <cfRule type="dataBar" priority="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{ACB23E69-7571-4097-ABD2-ADC50BAD97E3}</x14:id>
        </ext>
      </extLst>
    </cfRule>
  </conditionalFormatting>
  <conditionalFormatting sqref="V3:V7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{922D22FC-3A5D-42BB-A46C-A193D5F167C4}</x14:id>
        </ext>
      </extLst>
    </cfRule>
  </conditionalFormatting>
  <conditionalFormatting sqref="AA3:AA7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{D244B524-3156-44DC-B247-3CCE72DF5140}</x14:id>
        </ext>
      </extLst>
    </cfRule>
  </conditionalFormatting>
  <conditionalFormatting sqref="AA8:AC8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{8FF6EA3E-1D08-472B-9FF2-73A8FF802221}</x14:id>
        </ext>
      </extLst>
    </cfRule>
  </conditionalFormatting>
  <conditionalFormatting sqref="AA9:AC9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{1FF2B806-29B6-4870-81E5-F6751DD6BEE6}</x14:id>
        </ext>
      </extLst>
    </cfRule>
  </conditionalFormatting>
  <conditionalFormatting sqref="AA10:AC10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{E0591BFF-3C52-4E42-A89C-2417DD9ABEB1}</x14:id>
        </ext>
      </extLst>
    </cfRule>
  </conditionalFormatting>
  <conditionalFormatting sqref="AB3:AB7">
    <cfRule type="dataBar" priority="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{DED24425-6F8A-46BB-8FFD-3B9356419DB5}</x14:id>
        </ext>
      </extLst>
    </cfRule>
  </conditionalFormatting>
  <conditionalFormatting sqref="AG3:AG7">
    <cfRule type="dataBar" priority="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{AE1D452E-A92B-4EC7-82F5-49DC7A7D5223}</x14:id>
        </ext>
      </extLst>
    </cfRule>
  </conditionalFormatting>
  <conditionalFormatting sqref="AG8:AI8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{0858AC1F-3DF0-47D6-BADC-B243C4CB45CB}</x14:id>
        </ext>
      </extLst>
    </cfRule>
  </conditionalFormatting>
  <conditionalFormatting sqref="AG9:AI9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{8A8481E6-6091-4EFF-ACAE-8E77A5D1A4C8}</x14:id>
        </ext>
      </extLst>
    </cfRule>
  </conditionalFormatting>
  <conditionalFormatting sqref="AG10:AI10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{0985F84F-2283-4E41-AFEB-C4FA05F3E070}</x14:id>
        </ext>
      </extLst>
    </cfRule>
  </conditionalFormatting>
  <conditionalFormatting sqref="AH3:AH7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{F7797FBE-922A-4EC2-A702-6DB88B4FB3B1}</x14:id>
        </ext>
      </extLst>
    </cfRule>
  </conditionalFormatting>
  <conditionalFormatting sqref="Q3:S3 Q4:Q7 R4:S10">
    <cfRule type="dataBar" priority="1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{1C927B2F-00F7-4558-8425-DE3270932D89}</x14:id>
        </ext>
      </extLst>
    </cfRule>
  </conditionalFormatting>
  <conditionalFormatting sqref="W3:Y3 W4:W7 X4:Y10"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{1FEA3A9D-7CEC-4A13-8D71-B739ACE0978F}</x14:id>
        </ext>
      </extLst>
    </cfRule>
  </conditionalFormatting>
  <conditionalFormatting sqref="AC3:AE3 AC4:AC7 AD4:AE10">
    <cfRule type="dataBar" priority="1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{717BA77D-6BD3-4586-8A1C-1CEB1B67E547}</x14:id>
        </ext>
      </extLst>
    </cfRule>
  </conditionalFormatting>
  <conditionalFormatting sqref="AI3:AJ3 AI4:AI7 AJ4:AJ10">
    <cfRule type="dataBar" priority="1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{80F8D58E-009D-4FDA-9EAB-3BF840CCCB1C}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DD2036-0222-4114-AAFE-53A6C90AE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B22:D22 G22:I22</xm:sqref>
        </x14:conditionalFormatting>
        <x14:conditionalFormatting xmlns:xm="http://schemas.microsoft.com/office/excel/2006/main">
          <x14:cfRule type="dataBar" id="{47B738EC-7195-48EF-B0E7-BE38D9518C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B23:D23 G23:I23</xm:sqref>
        </x14:conditionalFormatting>
        <x14:conditionalFormatting xmlns:xm="http://schemas.microsoft.com/office/excel/2006/main">
          <x14:cfRule type="dataBar" id="{DFEB5E85-E0E7-4287-BC03-11DEA0CFA9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B24:D24 G24:I24</xm:sqref>
        </x14:conditionalFormatting>
        <x14:conditionalFormatting xmlns:xm="http://schemas.microsoft.com/office/excel/2006/main">
          <x14:cfRule type="dataBar" id="{2782942C-F932-43C1-9B5B-2200AB46C3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O3:O7</xm:sqref>
        </x14:conditionalFormatting>
        <x14:conditionalFormatting xmlns:xm="http://schemas.microsoft.com/office/excel/2006/main">
          <x14:cfRule type="dataBar" id="{66B6716A-5101-42FC-9E3E-7DA4039279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O8:Q8</xm:sqref>
        </x14:conditionalFormatting>
        <x14:conditionalFormatting xmlns:xm="http://schemas.microsoft.com/office/excel/2006/main">
          <x14:cfRule type="dataBar" id="{99C9EEEB-8623-483F-B4B4-3C9900E213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O9:Q9</xm:sqref>
        </x14:conditionalFormatting>
        <x14:conditionalFormatting xmlns:xm="http://schemas.microsoft.com/office/excel/2006/main">
          <x14:cfRule type="dataBar" id="{F8A20564-6290-4077-AE07-48E4104D96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O10:Q10</xm:sqref>
        </x14:conditionalFormatting>
        <x14:conditionalFormatting xmlns:xm="http://schemas.microsoft.com/office/excel/2006/main">
          <x14:cfRule type="dataBar" id="{BBA9AB64-6C8A-4406-B8F4-00C9EF191D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P3:P7</xm:sqref>
        </x14:conditionalFormatting>
        <x14:conditionalFormatting xmlns:xm="http://schemas.microsoft.com/office/excel/2006/main">
          <x14:cfRule type="dataBar" id="{6C306F9D-10CB-4582-8EDB-FE8E1F25B4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U3:U7</xm:sqref>
        </x14:conditionalFormatting>
        <x14:conditionalFormatting xmlns:xm="http://schemas.microsoft.com/office/excel/2006/main">
          <x14:cfRule type="dataBar" id="{E4445F0F-A6CA-4113-954B-5854532225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U8:W8</xm:sqref>
        </x14:conditionalFormatting>
        <x14:conditionalFormatting xmlns:xm="http://schemas.microsoft.com/office/excel/2006/main">
          <x14:cfRule type="dataBar" id="{7C16EFFA-8C94-4ABD-B937-7534F9931C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U9:W9</xm:sqref>
        </x14:conditionalFormatting>
        <x14:conditionalFormatting xmlns:xm="http://schemas.microsoft.com/office/excel/2006/main">
          <x14:cfRule type="dataBar" id="{ACB23E69-7571-4097-ABD2-ADC50BAD97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U10:W10</xm:sqref>
        </x14:conditionalFormatting>
        <x14:conditionalFormatting xmlns:xm="http://schemas.microsoft.com/office/excel/2006/main">
          <x14:cfRule type="dataBar" id="{922D22FC-3A5D-42BB-A46C-A193D5F167C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V3:V7</xm:sqref>
        </x14:conditionalFormatting>
        <x14:conditionalFormatting xmlns:xm="http://schemas.microsoft.com/office/excel/2006/main">
          <x14:cfRule type="dataBar" id="{D244B524-3156-44DC-B247-3CCE72DF514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AA3:AA7</xm:sqref>
        </x14:conditionalFormatting>
        <x14:conditionalFormatting xmlns:xm="http://schemas.microsoft.com/office/excel/2006/main">
          <x14:cfRule type="dataBar" id="{8FF6EA3E-1D08-472B-9FF2-73A8FF8022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AA8:AC8</xm:sqref>
        </x14:conditionalFormatting>
        <x14:conditionalFormatting xmlns:xm="http://schemas.microsoft.com/office/excel/2006/main">
          <x14:cfRule type="dataBar" id="{1FF2B806-29B6-4870-81E5-F6751DD6BE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AA9:AC9</xm:sqref>
        </x14:conditionalFormatting>
        <x14:conditionalFormatting xmlns:xm="http://schemas.microsoft.com/office/excel/2006/main">
          <x14:cfRule type="dataBar" id="{E0591BFF-3C52-4E42-A89C-2417DD9ABE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AA10:AC10</xm:sqref>
        </x14:conditionalFormatting>
        <x14:conditionalFormatting xmlns:xm="http://schemas.microsoft.com/office/excel/2006/main">
          <x14:cfRule type="dataBar" id="{DED24425-6F8A-46BB-8FFD-3B9356419D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AB3:AB7</xm:sqref>
        </x14:conditionalFormatting>
        <x14:conditionalFormatting xmlns:xm="http://schemas.microsoft.com/office/excel/2006/main">
          <x14:cfRule type="dataBar" id="{AE1D452E-A92B-4EC7-82F5-49DC7A7D52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AG3:AG7</xm:sqref>
        </x14:conditionalFormatting>
        <x14:conditionalFormatting xmlns:xm="http://schemas.microsoft.com/office/excel/2006/main">
          <x14:cfRule type="dataBar" id="{0858AC1F-3DF0-47D6-BADC-B243C4CB45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AG8:AI8</xm:sqref>
        </x14:conditionalFormatting>
        <x14:conditionalFormatting xmlns:xm="http://schemas.microsoft.com/office/excel/2006/main">
          <x14:cfRule type="dataBar" id="{8A8481E6-6091-4EFF-ACAE-8E77A5D1A4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AG9:AI9</xm:sqref>
        </x14:conditionalFormatting>
        <x14:conditionalFormatting xmlns:xm="http://schemas.microsoft.com/office/excel/2006/main">
          <x14:cfRule type="dataBar" id="{0985F84F-2283-4E41-AFEB-C4FA05F3E0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AG10:AI10</xm:sqref>
        </x14:conditionalFormatting>
        <x14:conditionalFormatting xmlns:xm="http://schemas.microsoft.com/office/excel/2006/main">
          <x14:cfRule type="dataBar" id="{F7797FBE-922A-4EC2-A702-6DB88B4FB3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AH3:AH7</xm:sqref>
        </x14:conditionalFormatting>
        <x14:conditionalFormatting xmlns:xm="http://schemas.microsoft.com/office/excel/2006/main">
          <x14:cfRule type="dataBar" id="{1C927B2F-00F7-4558-8425-DE3270932D8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Q3:S3 Q4:Q7 R4:S10</xm:sqref>
        </x14:conditionalFormatting>
        <x14:conditionalFormatting xmlns:xm="http://schemas.microsoft.com/office/excel/2006/main">
          <x14:cfRule type="dataBar" id="{1FEA3A9D-7CEC-4A13-8D71-B739ACE097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W3:Y3 W4:W7 X4:Y10</xm:sqref>
        </x14:conditionalFormatting>
        <x14:conditionalFormatting xmlns:xm="http://schemas.microsoft.com/office/excel/2006/main">
          <x14:cfRule type="dataBar" id="{717BA77D-6BD3-4586-8A1C-1CEB1B67E54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AC3:AE3 AC4:AC7 AD4:AE10</xm:sqref>
        </x14:conditionalFormatting>
        <x14:conditionalFormatting xmlns:xm="http://schemas.microsoft.com/office/excel/2006/main">
          <x14:cfRule type="dataBar" id="{80F8D58E-009D-4FDA-9EAB-3BF840CCCB1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AI3:AJ3 AI4:AI7 AJ4:AJ10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Lundberg</dc:creator>
  <cp:lastModifiedBy>Robert Lundberg</cp:lastModifiedBy>
  <dcterms:created xsi:type="dcterms:W3CDTF">2015-06-05T18:19:34Z</dcterms:created>
  <dcterms:modified xsi:type="dcterms:W3CDTF">2026-07-02T15:29:02Z</dcterms:modified>
</cp:coreProperties>
</file>
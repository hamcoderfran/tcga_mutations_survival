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rsonal\Malaria Paper\Manuscript\JBR\Revised MS and referee report\Other info\"/>
    </mc:Choice>
  </mc:AlternateContent>
  <bookViews>
    <workbookView xWindow="0" yWindow="0" windowWidth="28800" windowHeight="12300"/>
  </bookViews>
  <sheets>
    <sheet name="S012" sheetId="2" r:id="rId1"/>
    <sheet name="S014" sheetId="3" r:id="rId2"/>
    <sheet name="S023" sheetId="4" r:id="rId3"/>
    <sheet name="S025" sheetId="5" r:id="rId4"/>
    <sheet name="S028" sheetId="6" r:id="rId5"/>
    <sheet name="S030" sheetId="7" r:id="rId6"/>
    <sheet name="S013" sheetId="8" r:id="rId7"/>
    <sheet name="Ambient air R1" sheetId="12" r:id="rId8"/>
    <sheet name="Ambient air R3" sheetId="15" r:id="rId9"/>
    <sheet name="Ambient Air R4" sheetId="16" r:id="rId10"/>
    <sheet name="EPA standards" sheetId="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6" l="1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25" i="5"/>
  <c r="G24" i="5"/>
  <c r="G23" i="5"/>
  <c r="G22" i="5"/>
  <c r="G21" i="5"/>
  <c r="G20" i="5"/>
  <c r="G19" i="5"/>
  <c r="G18" i="5"/>
  <c r="G17" i="5"/>
  <c r="G16" i="5"/>
  <c r="G15" i="5"/>
  <c r="G14" i="5"/>
  <c r="G12" i="5"/>
  <c r="G11" i="5"/>
  <c r="G10" i="5"/>
  <c r="G9" i="5"/>
  <c r="G8" i="5"/>
  <c r="G7" i="5"/>
  <c r="G6" i="5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</calcChain>
</file>

<file path=xl/sharedStrings.xml><?xml version="1.0" encoding="utf-8"?>
<sst xmlns="http://schemas.openxmlformats.org/spreadsheetml/2006/main" count="765" uniqueCount="220">
  <si>
    <t xml:space="preserve">Instrument stability </t>
  </si>
  <si>
    <t>GC-QTOF - Unity system</t>
  </si>
  <si>
    <r>
      <t>1</t>
    </r>
    <r>
      <rPr>
        <sz val="11"/>
        <color theme="1"/>
        <rFont val="Calibri"/>
        <family val="2"/>
      </rPr>
      <t>µL of 20µg/ml EPA 8240B standard injected into a tube with a nitrogen flow of 100ml/min for 3 mins.</t>
    </r>
  </si>
  <si>
    <t xml:space="preserve"> </t>
  </si>
  <si>
    <t>Compound</t>
  </si>
  <si>
    <t>Formula</t>
  </si>
  <si>
    <t>Exact mass QTOF</t>
  </si>
  <si>
    <t>Extracted ions</t>
  </si>
  <si>
    <t>Ions from peak</t>
  </si>
  <si>
    <t>2-Butanone</t>
  </si>
  <si>
    <r>
      <t>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O</t>
    </r>
  </si>
  <si>
    <t>43, 57, 72</t>
  </si>
  <si>
    <t>43.0182, 57.0338, 72.0569</t>
  </si>
  <si>
    <t>Isobutanol</t>
  </si>
  <si>
    <r>
      <t>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O</t>
    </r>
  </si>
  <si>
    <t>43, 55, 74</t>
  </si>
  <si>
    <t>43.0179, 55.0179, 74.0360</t>
  </si>
  <si>
    <t>4-Methyl-2-Pentanone</t>
  </si>
  <si>
    <r>
      <t>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O</t>
    </r>
  </si>
  <si>
    <t>43, 58, 85, 100</t>
  </si>
  <si>
    <t>43.0182, 58.0420, 85.0655, 100.0884</t>
  </si>
  <si>
    <t>2-Hexanone</t>
  </si>
  <si>
    <t>43, 58, 71, 85, 100</t>
  </si>
  <si>
    <t>43.0184, 58.0420, 71.0495, 85.0655, 100.0884</t>
  </si>
  <si>
    <t>Patient</t>
  </si>
  <si>
    <t>Trial Day</t>
  </si>
  <si>
    <t>Date</t>
  </si>
  <si>
    <t>Day</t>
  </si>
  <si>
    <t>Time sample extracted into tube</t>
  </si>
  <si>
    <t>GC-QTOF run time</t>
  </si>
  <si>
    <t>Time tube stored (days)</t>
  </si>
  <si>
    <t>Day 0 AM</t>
  </si>
  <si>
    <t>Mon</t>
  </si>
  <si>
    <t xml:space="preserve">  </t>
  </si>
  <si>
    <t>Day 4 AM</t>
  </si>
  <si>
    <t>Fri</t>
  </si>
  <si>
    <t>Day 5 AM</t>
  </si>
  <si>
    <t>Sat</t>
  </si>
  <si>
    <t>Day 6 AM</t>
  </si>
  <si>
    <t>Sun</t>
  </si>
  <si>
    <t>Day 7 AM</t>
  </si>
  <si>
    <t>Tues</t>
  </si>
  <si>
    <t>Day 9 AM</t>
  </si>
  <si>
    <t>Wed</t>
  </si>
  <si>
    <t>Day 9 PM</t>
  </si>
  <si>
    <t>Thurs</t>
  </si>
  <si>
    <t xml:space="preserve">Plasmodium falciparum </t>
  </si>
  <si>
    <t>101-S012</t>
  </si>
  <si>
    <t>Day 5 PM</t>
  </si>
  <si>
    <t>Day 6 PM</t>
  </si>
  <si>
    <t>Day 7 4h</t>
  </si>
  <si>
    <t>Day 7 8h</t>
  </si>
  <si>
    <t>Day 7 12h</t>
  </si>
  <si>
    <t xml:space="preserve">Day 8 AM </t>
  </si>
  <si>
    <t>Day 8 12h</t>
  </si>
  <si>
    <t>Day 8 4h</t>
  </si>
  <si>
    <t>Day 8 8h</t>
  </si>
  <si>
    <t xml:space="preserve"> Tues</t>
  </si>
  <si>
    <t>Day 10 AM</t>
  </si>
  <si>
    <t>Day 10 PM</t>
  </si>
  <si>
    <t>101-S014</t>
  </si>
  <si>
    <t>101-S023</t>
  </si>
  <si>
    <t>101-S025</t>
  </si>
  <si>
    <t>101-S028</t>
  </si>
  <si>
    <t>101-S030</t>
  </si>
  <si>
    <t>101-S013</t>
  </si>
  <si>
    <t>Day 15 PM</t>
  </si>
  <si>
    <t>Day 19 PM</t>
  </si>
  <si>
    <t>Day 18 AM</t>
  </si>
  <si>
    <t>No sample</t>
  </si>
  <si>
    <t>Day 24 AM</t>
  </si>
  <si>
    <t>Day 21 AM</t>
  </si>
  <si>
    <t>Day 36 AM</t>
  </si>
  <si>
    <t>Day 33 AM</t>
  </si>
  <si>
    <t>Ambient Air</t>
  </si>
  <si>
    <t>R1</t>
  </si>
  <si>
    <t>R4</t>
  </si>
  <si>
    <t>R3</t>
  </si>
  <si>
    <t>ND</t>
  </si>
  <si>
    <t>Sample name</t>
  </si>
  <si>
    <t>S012 D0 R1.D</t>
  </si>
  <si>
    <t>S012 D4 R1.D</t>
  </si>
  <si>
    <t>S012 D5 AM R1.D</t>
  </si>
  <si>
    <t>S012 D6 AM R1.D</t>
  </si>
  <si>
    <t>S012 D6 PM R1.D</t>
  </si>
  <si>
    <t>S012 D7 AM R1.D</t>
  </si>
  <si>
    <t>S012 D8 AM R1.D</t>
  </si>
  <si>
    <t>S012 D5 PM R1.D</t>
  </si>
  <si>
    <t>S012 D9 AM R1.D</t>
  </si>
  <si>
    <t>S012 D9 PM R1.D</t>
  </si>
  <si>
    <t>S012 D10 AM R1.D</t>
  </si>
  <si>
    <t>S012 D10 PM R1.D</t>
  </si>
  <si>
    <t>S012 D24 AM R1.D</t>
  </si>
  <si>
    <t>S012 D36 AM R1.D</t>
  </si>
  <si>
    <t>S012 D7 4h R1.D</t>
  </si>
  <si>
    <t>S012 D7 8h R1.D</t>
  </si>
  <si>
    <t>S012 D7 12h R1.D</t>
  </si>
  <si>
    <t>S012 D8 4h R1.D</t>
  </si>
  <si>
    <t>S012 D8 8h R1.D</t>
  </si>
  <si>
    <t>S012 D8 12h R1.D</t>
  </si>
  <si>
    <t>S014 D0 R1.D</t>
  </si>
  <si>
    <t>S014 D4 R1.D</t>
  </si>
  <si>
    <t>S014 D5 AM R1.D</t>
  </si>
  <si>
    <t>S014 D5 PM R1.D</t>
  </si>
  <si>
    <t>S014 D6 AM R1.D</t>
  </si>
  <si>
    <t>S014 D6 PM R1.D</t>
  </si>
  <si>
    <t>S014 D7 AM R1.D</t>
  </si>
  <si>
    <t>S014 D7 4h R1.D</t>
  </si>
  <si>
    <t>S014 D7 8h R1.D</t>
  </si>
  <si>
    <t>S014 D7 12h R1.D</t>
  </si>
  <si>
    <t>S014 D8 AM R1.D</t>
  </si>
  <si>
    <t>S014 D8 4h R1.D</t>
  </si>
  <si>
    <t>S014 D8 8h R1.D</t>
  </si>
  <si>
    <t>S014 D8 12h R1.D</t>
  </si>
  <si>
    <t>S014 D9 AM R1.D</t>
  </si>
  <si>
    <t>S014 D9 PM R1.D</t>
  </si>
  <si>
    <t>S014 D10 AM R1.D</t>
  </si>
  <si>
    <t>S014 D10 PM R1.D</t>
  </si>
  <si>
    <t>S014 D36 AM R1.D</t>
  </si>
  <si>
    <t>S023 D0 R1.D</t>
  </si>
  <si>
    <t>S023 D4 R1.D</t>
  </si>
  <si>
    <t>S023 D5 AM R1.D</t>
  </si>
  <si>
    <t>S023 D5 PM R1.D</t>
  </si>
  <si>
    <t>S023 D6 AM R1.D</t>
  </si>
  <si>
    <t>S023 D6 PM R1.D</t>
  </si>
  <si>
    <t>S023 D7 AM R1.D</t>
  </si>
  <si>
    <t>S023 D7 4h R1.D</t>
  </si>
  <si>
    <t>S023 D7 8h R1.D</t>
  </si>
  <si>
    <t>S023 D7 12h R1.D</t>
  </si>
  <si>
    <t>S023 D8 AM R1.D</t>
  </si>
  <si>
    <t>S023 D8 4h R1.D</t>
  </si>
  <si>
    <t>S023 D8 8h R1.D</t>
  </si>
  <si>
    <t>S023 D8 12h R1.D</t>
  </si>
  <si>
    <t>S023 D9 AM R1.D</t>
  </si>
  <si>
    <t>S023 D9 PM R1.D</t>
  </si>
  <si>
    <t>S023 D10 AM R1.D</t>
  </si>
  <si>
    <t>S023 D10 PM R1.D</t>
  </si>
  <si>
    <t>S023 D36 AM R1.D</t>
  </si>
  <si>
    <t>S025 D0 R1.D</t>
  </si>
  <si>
    <t>S025 D4 R1.D</t>
  </si>
  <si>
    <t>S025 D5 AM R1.D</t>
  </si>
  <si>
    <t>S025 D5 PM R1.D</t>
  </si>
  <si>
    <t>S025 D6 AM R1.D</t>
  </si>
  <si>
    <t>S025 D6 PM R1.D</t>
  </si>
  <si>
    <t>S025 D7 AM R1.D</t>
  </si>
  <si>
    <t>S025 D7 4h R1.D</t>
  </si>
  <si>
    <t>S025 D7 8h R1.D</t>
  </si>
  <si>
    <t>S025 D7 12h R1.D</t>
  </si>
  <si>
    <t>S025 D8 AM R1.D</t>
  </si>
  <si>
    <t>S025 D8 4h R1.D</t>
  </si>
  <si>
    <t>S025 D8 8h R1.D</t>
  </si>
  <si>
    <t>S025 D8 12h R1.D</t>
  </si>
  <si>
    <t>S025 D9 AM R1.D</t>
  </si>
  <si>
    <t>S025 D9 PM R1.D</t>
  </si>
  <si>
    <t>S025 D10 AM R1.D</t>
  </si>
  <si>
    <t>S025 D10 PM R1.D</t>
  </si>
  <si>
    <t>S025 D36 AM R1.D</t>
  </si>
  <si>
    <t>S028 D0 R1.D</t>
  </si>
  <si>
    <t>S028 D4 R1.D</t>
  </si>
  <si>
    <t>S028 D5 AM R1.D</t>
  </si>
  <si>
    <t>S028 D5 PM R1.D</t>
  </si>
  <si>
    <t>S028 D6 AM R1.D</t>
  </si>
  <si>
    <t>S028 D6 PM R1.D</t>
  </si>
  <si>
    <t>S028 D7 AM R1.D</t>
  </si>
  <si>
    <t>S028 D7 4h R1.D</t>
  </si>
  <si>
    <t>S028 D7 8h R1.D</t>
  </si>
  <si>
    <t>S028 D7 12h R1.D</t>
  </si>
  <si>
    <t>S028 D8 AM R1.D</t>
  </si>
  <si>
    <t>S028 D8 4h R1.D</t>
  </si>
  <si>
    <t>S028 D8 8h R1.D</t>
  </si>
  <si>
    <t>S028 D8 12h R1.D</t>
  </si>
  <si>
    <t>S028 D9 AM R1.D</t>
  </si>
  <si>
    <t>S028 D9 PM R1.D</t>
  </si>
  <si>
    <t>S028 D10 AM R1.D</t>
  </si>
  <si>
    <t>S028 D10 PM R1.D</t>
  </si>
  <si>
    <t>S028 D36 AM R1.D</t>
  </si>
  <si>
    <t>S014 D21 AM R1.D</t>
  </si>
  <si>
    <t>S023 D33 AM R1.D</t>
  </si>
  <si>
    <t>S025 D15 AM R1.D</t>
  </si>
  <si>
    <t>S030 D0 R1.D</t>
  </si>
  <si>
    <t>S030 D4 R1.D</t>
  </si>
  <si>
    <t>S030 D5 AM R1.D</t>
  </si>
  <si>
    <t>S030 D5 PM R1.D</t>
  </si>
  <si>
    <t>S030 D6 AM R1.D</t>
  </si>
  <si>
    <t>S030 D6 PM R1.D</t>
  </si>
  <si>
    <t>S030 D7 AM R1.D</t>
  </si>
  <si>
    <t>S030 D7 4h R1.D</t>
  </si>
  <si>
    <t>S030 D7 8h R1.D</t>
  </si>
  <si>
    <t>S030 D7 12h R1.D</t>
  </si>
  <si>
    <t>S030 D8 AM R1.D</t>
  </si>
  <si>
    <t>S030 D8 4h R1.D</t>
  </si>
  <si>
    <t>S030 D8 8h R1.D</t>
  </si>
  <si>
    <t>S030 D8 12h R1.D</t>
  </si>
  <si>
    <t>S030 D9 AM R1.D</t>
  </si>
  <si>
    <t>S030 D9 PM R1.D</t>
  </si>
  <si>
    <t>S030 D10 AM R1.D</t>
  </si>
  <si>
    <t>S030 D10 PM R1.D</t>
  </si>
  <si>
    <t>S030 D36 AM R1.D</t>
  </si>
  <si>
    <t>S030 D18 AM R1.D</t>
  </si>
  <si>
    <t>S013 D0 R1.D</t>
  </si>
  <si>
    <t>S013 D4 R1.D</t>
  </si>
  <si>
    <t>S013 D5 AM R1.D</t>
  </si>
  <si>
    <t>S013 D5 PM R1.D</t>
  </si>
  <si>
    <t>S013 D6 AM R1.D</t>
  </si>
  <si>
    <t>S013 D6 PM R1.D</t>
  </si>
  <si>
    <t>S013 D7 AM R1.D</t>
  </si>
  <si>
    <t>S013 D7 4h R1.D</t>
  </si>
  <si>
    <t>S013 D7 8h R1.D</t>
  </si>
  <si>
    <t>S013 D7 12h R1.D</t>
  </si>
  <si>
    <t>S013 D8 AM R1.D</t>
  </si>
  <si>
    <t>S013 D8 4h R1.D</t>
  </si>
  <si>
    <t>S013 D8 8h R1.D</t>
  </si>
  <si>
    <t>S013 D8 12h R1.D</t>
  </si>
  <si>
    <t>S013 D9 AM R1.D</t>
  </si>
  <si>
    <t>S013 D9 PM R1.D</t>
  </si>
  <si>
    <t>S013 D10 AM R1.D</t>
  </si>
  <si>
    <t>S013 D10 PM R1.D</t>
  </si>
  <si>
    <t>S013 D36 AM R1.D</t>
  </si>
  <si>
    <t>S013 D19 AM R1.D</t>
  </si>
  <si>
    <t>Parasite number / mL of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</si>
</sst>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0" xfId="0" applyNumberFormat="1"/>
    <xf numFmtId="0" fontId="0" fillId="0" borderId="4" xfId="0" applyBorder="1"/>
    <xf numFmtId="0" fontId="0" fillId="0" borderId="3" xfId="0" applyBorder="1"/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2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22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'EPA standards'!#REF!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'EPA standards'!#REF!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'EPA standards'!#REF!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D02-4476-8C69-FE02D9DCE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870464"/>
        <c:axId val="234871640"/>
      </c:barChart>
      <c:catAx>
        <c:axId val="2348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71640"/>
        <c:crosses val="autoZero"/>
        <c:auto val="1"/>
        <c:lblAlgn val="ctr"/>
        <c:lblOffset val="100"/>
        <c:noMultiLvlLbl val="0"/>
      </c:catAx>
      <c:valAx>
        <c:axId val="23487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70464"/>
        <c:crosses val="autoZero"/>
        <c:crossBetween val="between"/>
      </c:valAx>
      <c:spPr>
        <a:noFill/>
        <a:ln>
          <a:solidFill>
            <a:schemeClr val="tx2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104774</xdr:colOff>
      <xdr:row>1</xdr:row>
      <xdr:rowOff>152400</xdr:rowOff>
    </xdr:from>
    <xdr:to>
      <xdr:col>46</xdr:col>
      <xdr:colOff>438149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A3" sqref="A3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5.85546875" customWidth="1"/>
    <col min="9" max="9" width="19.28515625" customWidth="1"/>
  </cols>
  <sheetData>
    <row r="1" spans="1:14" x14ac:dyDescent="0.25">
      <c r="A1" t="s">
        <v>46</v>
      </c>
      <c r="B1" s="10">
        <v>42591</v>
      </c>
      <c r="C1" s="10" t="s">
        <v>3</v>
      </c>
    </row>
    <row r="4" spans="1:14" s="15" customFormat="1" ht="48.75" customHeight="1" x14ac:dyDescent="0.25">
      <c r="A4" s="14" t="s">
        <v>24</v>
      </c>
      <c r="B4" s="26" t="s">
        <v>25</v>
      </c>
      <c r="C4" s="26" t="s">
        <v>26</v>
      </c>
      <c r="D4" s="26" t="s">
        <v>27</v>
      </c>
      <c r="E4" s="26" t="s">
        <v>28</v>
      </c>
      <c r="F4" s="26" t="s">
        <v>29</v>
      </c>
      <c r="G4" s="26" t="s">
        <v>30</v>
      </c>
      <c r="H4" s="26" t="s">
        <v>219</v>
      </c>
      <c r="I4" s="26" t="s">
        <v>79</v>
      </c>
    </row>
    <row r="5" spans="1:14" x14ac:dyDescent="0.25">
      <c r="A5" s="11"/>
      <c r="B5" s="11"/>
      <c r="C5" s="11"/>
      <c r="D5" s="11"/>
      <c r="E5" s="11"/>
      <c r="F5" s="11"/>
      <c r="G5" s="11"/>
      <c r="H5" s="11"/>
      <c r="I5" s="9"/>
    </row>
    <row r="6" spans="1:14" x14ac:dyDescent="0.25">
      <c r="A6" s="12"/>
      <c r="B6" s="12"/>
      <c r="C6" s="12"/>
      <c r="D6" s="12"/>
      <c r="E6" s="12" t="s">
        <v>3</v>
      </c>
      <c r="F6" s="12"/>
      <c r="G6" s="12"/>
      <c r="H6" s="7"/>
      <c r="I6" s="7"/>
    </row>
    <row r="7" spans="1:14" x14ac:dyDescent="0.25">
      <c r="A7" s="6" t="s">
        <v>47</v>
      </c>
      <c r="B7" s="9" t="s">
        <v>31</v>
      </c>
      <c r="C7" s="18">
        <v>42591</v>
      </c>
      <c r="D7" s="6" t="s">
        <v>41</v>
      </c>
      <c r="E7" s="19">
        <v>42591.32708333333</v>
      </c>
      <c r="F7" s="19">
        <v>42599.54791666667</v>
      </c>
      <c r="G7" s="20">
        <f>F7-E7</f>
        <v>8.2208333333401242</v>
      </c>
      <c r="H7" s="27" t="s">
        <v>78</v>
      </c>
      <c r="I7" s="9" t="s">
        <v>80</v>
      </c>
      <c r="J7" t="s">
        <v>3</v>
      </c>
      <c r="K7" t="s">
        <v>3</v>
      </c>
      <c r="L7" t="s">
        <v>3</v>
      </c>
      <c r="M7" t="s">
        <v>3</v>
      </c>
      <c r="N7" t="s">
        <v>3</v>
      </c>
    </row>
    <row r="8" spans="1:14" x14ac:dyDescent="0.25">
      <c r="A8" s="9"/>
      <c r="B8" s="9" t="s">
        <v>34</v>
      </c>
      <c r="C8" s="8">
        <v>42595</v>
      </c>
      <c r="D8" s="9" t="s">
        <v>37</v>
      </c>
      <c r="E8" s="21">
        <v>42595.341666666667</v>
      </c>
      <c r="F8" s="21">
        <v>42599.605555555558</v>
      </c>
      <c r="G8" s="22">
        <f t="shared" ref="G8:G26" si="0">F8-E8</f>
        <v>4.2638888888905058</v>
      </c>
      <c r="H8" s="28">
        <v>178.5</v>
      </c>
      <c r="I8" s="9" t="s">
        <v>81</v>
      </c>
    </row>
    <row r="9" spans="1:14" x14ac:dyDescent="0.25">
      <c r="A9" s="9"/>
      <c r="B9" s="9" t="s">
        <v>36</v>
      </c>
      <c r="C9" s="8">
        <v>42504</v>
      </c>
      <c r="D9" s="9" t="s">
        <v>39</v>
      </c>
      <c r="E9" s="21">
        <v>42596.379166666666</v>
      </c>
      <c r="F9" s="21">
        <v>42599.661111111112</v>
      </c>
      <c r="G9" s="22">
        <f t="shared" si="0"/>
        <v>3.2819444444467081</v>
      </c>
      <c r="H9" s="28">
        <v>1241.5</v>
      </c>
      <c r="I9" s="9" t="s">
        <v>82</v>
      </c>
    </row>
    <row r="10" spans="1:14" x14ac:dyDescent="0.25">
      <c r="A10" s="9"/>
      <c r="B10" s="9" t="s">
        <v>48</v>
      </c>
      <c r="C10" s="8" t="s">
        <v>3</v>
      </c>
      <c r="D10" s="9" t="s">
        <v>3</v>
      </c>
      <c r="E10" s="21">
        <v>42596.856249999997</v>
      </c>
      <c r="F10" s="21">
        <v>42599.71875</v>
      </c>
      <c r="G10" s="22">
        <f t="shared" si="0"/>
        <v>2.8625000000029104</v>
      </c>
      <c r="H10" s="28">
        <v>65</v>
      </c>
      <c r="I10" s="9" t="s">
        <v>87</v>
      </c>
    </row>
    <row r="11" spans="1:14" x14ac:dyDescent="0.25">
      <c r="A11" s="9"/>
      <c r="B11" s="9" t="s">
        <v>38</v>
      </c>
      <c r="C11" s="8">
        <v>42597</v>
      </c>
      <c r="D11" s="9" t="s">
        <v>32</v>
      </c>
      <c r="E11" s="21">
        <v>42597.374305555553</v>
      </c>
      <c r="F11" s="21">
        <v>42599.777083333334</v>
      </c>
      <c r="G11" s="22">
        <f t="shared" si="0"/>
        <v>2.4027777777810115</v>
      </c>
      <c r="H11" s="28">
        <v>1212</v>
      </c>
      <c r="I11" s="9" t="s">
        <v>83</v>
      </c>
    </row>
    <row r="12" spans="1:14" x14ac:dyDescent="0.25">
      <c r="A12" s="9"/>
      <c r="B12" s="9" t="s">
        <v>49</v>
      </c>
      <c r="C12" s="8" t="s">
        <v>3</v>
      </c>
      <c r="D12" s="9" t="s">
        <v>3</v>
      </c>
      <c r="E12" s="21">
        <v>42597.86041666667</v>
      </c>
      <c r="F12" s="21">
        <v>42615.546527777777</v>
      </c>
      <c r="G12" s="22">
        <f t="shared" si="0"/>
        <v>17.686111111106584</v>
      </c>
      <c r="H12" s="28">
        <v>8655.5</v>
      </c>
      <c r="I12" s="9" t="s">
        <v>84</v>
      </c>
    </row>
    <row r="13" spans="1:14" x14ac:dyDescent="0.25">
      <c r="A13" s="11"/>
      <c r="B13" s="9" t="s">
        <v>40</v>
      </c>
      <c r="C13" s="8">
        <v>42598</v>
      </c>
      <c r="D13" s="9" t="s">
        <v>57</v>
      </c>
      <c r="E13" s="21">
        <v>42598.363194444442</v>
      </c>
      <c r="F13" s="21">
        <v>42615.603472222225</v>
      </c>
      <c r="G13" s="22">
        <f t="shared" si="0"/>
        <v>17.240277777782467</v>
      </c>
      <c r="H13" s="28">
        <v>13790</v>
      </c>
      <c r="I13" s="9" t="s">
        <v>85</v>
      </c>
    </row>
    <row r="14" spans="1:14" x14ac:dyDescent="0.25">
      <c r="A14" s="11"/>
      <c r="B14" s="9" t="s">
        <v>50</v>
      </c>
      <c r="C14" s="8" t="s">
        <v>3</v>
      </c>
      <c r="D14" s="9"/>
      <c r="E14" s="21">
        <v>42598.525000000001</v>
      </c>
      <c r="F14" s="21">
        <v>42615.658333333333</v>
      </c>
      <c r="G14" s="22">
        <f t="shared" si="0"/>
        <v>17.133333333331393</v>
      </c>
      <c r="H14" s="28" t="s">
        <v>3</v>
      </c>
      <c r="I14" s="9" t="s">
        <v>94</v>
      </c>
    </row>
    <row r="15" spans="1:14" x14ac:dyDescent="0.25">
      <c r="A15" s="11"/>
      <c r="B15" s="9" t="s">
        <v>51</v>
      </c>
      <c r="C15" s="8" t="s">
        <v>3</v>
      </c>
      <c r="D15" s="9" t="s">
        <v>3</v>
      </c>
      <c r="E15" s="21">
        <v>42598.691666666666</v>
      </c>
      <c r="F15" s="21">
        <v>42615.713888888888</v>
      </c>
      <c r="G15" s="22">
        <f t="shared" si="0"/>
        <v>17.022222222221899</v>
      </c>
      <c r="H15" s="28">
        <v>9774</v>
      </c>
      <c r="I15" s="9" t="s">
        <v>95</v>
      </c>
    </row>
    <row r="16" spans="1:14" x14ac:dyDescent="0.25">
      <c r="A16" s="11"/>
      <c r="B16" s="9" t="s">
        <v>52</v>
      </c>
      <c r="C16" s="9"/>
      <c r="D16" s="9"/>
      <c r="E16" s="21">
        <v>42598.868055555555</v>
      </c>
      <c r="F16" s="21">
        <v>42615.770833333336</v>
      </c>
      <c r="G16" s="22">
        <f t="shared" si="0"/>
        <v>16.902777777781012</v>
      </c>
      <c r="H16" s="29"/>
      <c r="I16" s="9" t="s">
        <v>96</v>
      </c>
    </row>
    <row r="17" spans="1:9" x14ac:dyDescent="0.25">
      <c r="A17" s="11"/>
      <c r="B17" s="9" t="s">
        <v>53</v>
      </c>
      <c r="C17" s="8">
        <v>42599</v>
      </c>
      <c r="D17" s="9" t="s">
        <v>43</v>
      </c>
      <c r="E17" s="21">
        <v>42599.304166666669</v>
      </c>
      <c r="F17" s="21">
        <v>42615.822916666664</v>
      </c>
      <c r="G17" s="22">
        <f t="shared" si="0"/>
        <v>16.518749999995634</v>
      </c>
      <c r="H17" s="28">
        <v>43542</v>
      </c>
      <c r="I17" s="9" t="s">
        <v>86</v>
      </c>
    </row>
    <row r="18" spans="1:9" x14ac:dyDescent="0.25">
      <c r="A18" s="11"/>
      <c r="B18" s="9" t="s">
        <v>55</v>
      </c>
      <c r="C18" s="9"/>
      <c r="D18" s="9"/>
      <c r="E18" s="21">
        <v>42599.524305555555</v>
      </c>
      <c r="F18" s="21">
        <v>42615.878472222219</v>
      </c>
      <c r="G18" s="22">
        <f t="shared" si="0"/>
        <v>16.354166666664241</v>
      </c>
      <c r="H18" s="9"/>
      <c r="I18" s="9" t="s">
        <v>97</v>
      </c>
    </row>
    <row r="19" spans="1:9" x14ac:dyDescent="0.25">
      <c r="A19" s="11"/>
      <c r="B19" s="9" t="s">
        <v>56</v>
      </c>
      <c r="C19" s="8" t="s">
        <v>3</v>
      </c>
      <c r="D19" s="9" t="s">
        <v>3</v>
      </c>
      <c r="E19" s="21">
        <v>42599.693749999999</v>
      </c>
      <c r="F19" s="21">
        <v>42615.936111111114</v>
      </c>
      <c r="G19" s="22">
        <f t="shared" si="0"/>
        <v>16.242361111115315</v>
      </c>
      <c r="H19" s="9"/>
      <c r="I19" s="9" t="s">
        <v>98</v>
      </c>
    </row>
    <row r="20" spans="1:9" x14ac:dyDescent="0.25">
      <c r="A20" s="11"/>
      <c r="B20" s="9" t="s">
        <v>54</v>
      </c>
      <c r="C20" s="9"/>
      <c r="D20" s="9"/>
      <c r="E20" s="21">
        <v>42599.86041666667</v>
      </c>
      <c r="F20" s="21">
        <v>42615.988194444442</v>
      </c>
      <c r="G20" s="22">
        <f t="shared" si="0"/>
        <v>16.12777777777228</v>
      </c>
      <c r="H20" s="9"/>
      <c r="I20" s="9" t="s">
        <v>99</v>
      </c>
    </row>
    <row r="21" spans="1:9" x14ac:dyDescent="0.25">
      <c r="A21" s="11"/>
      <c r="B21" s="9" t="s">
        <v>42</v>
      </c>
      <c r="C21" s="8">
        <v>42600</v>
      </c>
      <c r="D21" s="9" t="s">
        <v>45</v>
      </c>
      <c r="E21" s="21">
        <v>42600.303472222222</v>
      </c>
      <c r="F21" s="21">
        <v>42616.044444444444</v>
      </c>
      <c r="G21" s="22">
        <f t="shared" si="0"/>
        <v>15.740972222221899</v>
      </c>
      <c r="H21" s="9"/>
      <c r="I21" s="9" t="s">
        <v>88</v>
      </c>
    </row>
    <row r="22" spans="1:9" x14ac:dyDescent="0.25">
      <c r="A22" s="11"/>
      <c r="B22" s="9" t="s">
        <v>44</v>
      </c>
      <c r="C22" s="8" t="s">
        <v>3</v>
      </c>
      <c r="D22" s="9" t="s">
        <v>3</v>
      </c>
      <c r="E22" s="21">
        <v>42600.81527777778</v>
      </c>
      <c r="F22" s="21">
        <v>42628.066666666666</v>
      </c>
      <c r="G22" s="22">
        <f t="shared" si="0"/>
        <v>27.25138888888614</v>
      </c>
      <c r="H22" s="9"/>
      <c r="I22" s="9" t="s">
        <v>89</v>
      </c>
    </row>
    <row r="23" spans="1:9" x14ac:dyDescent="0.25">
      <c r="A23" s="11"/>
      <c r="B23" s="9" t="s">
        <v>58</v>
      </c>
      <c r="C23" s="8">
        <v>42601</v>
      </c>
      <c r="D23" s="9" t="s">
        <v>35</v>
      </c>
      <c r="E23" s="21">
        <v>42601.293749999997</v>
      </c>
      <c r="F23" s="21">
        <v>42628.12777777778</v>
      </c>
      <c r="G23" s="22">
        <f t="shared" si="0"/>
        <v>26.834027777782467</v>
      </c>
      <c r="H23" s="9"/>
      <c r="I23" s="9" t="s">
        <v>90</v>
      </c>
    </row>
    <row r="24" spans="1:9" x14ac:dyDescent="0.25">
      <c r="A24" s="11"/>
      <c r="B24" s="9" t="s">
        <v>59</v>
      </c>
      <c r="C24" s="8" t="s">
        <v>3</v>
      </c>
      <c r="D24" s="9" t="s">
        <v>3</v>
      </c>
      <c r="E24" s="21">
        <v>42601.79791666667</v>
      </c>
      <c r="F24" s="21">
        <v>42628.18472222222</v>
      </c>
      <c r="G24" s="22">
        <f t="shared" si="0"/>
        <v>26.386805555550382</v>
      </c>
      <c r="H24" s="9"/>
      <c r="I24" s="9" t="s">
        <v>91</v>
      </c>
    </row>
    <row r="25" spans="1:9" x14ac:dyDescent="0.25">
      <c r="A25" s="11"/>
      <c r="B25" s="9" t="s">
        <v>70</v>
      </c>
      <c r="C25" s="8">
        <v>42615</v>
      </c>
      <c r="D25" s="9" t="s">
        <v>35</v>
      </c>
      <c r="E25" s="21">
        <v>42615.384722222225</v>
      </c>
      <c r="F25" s="21">
        <v>42632.847916666666</v>
      </c>
      <c r="G25" s="22">
        <f t="shared" si="0"/>
        <v>17.463194444440887</v>
      </c>
      <c r="H25" s="9"/>
      <c r="I25" s="9" t="s">
        <v>92</v>
      </c>
    </row>
    <row r="26" spans="1:9" x14ac:dyDescent="0.25">
      <c r="A26" s="12"/>
      <c r="B26" s="7" t="s">
        <v>72</v>
      </c>
      <c r="C26" s="23">
        <v>42627</v>
      </c>
      <c r="D26" s="7" t="s">
        <v>43</v>
      </c>
      <c r="E26" s="24">
        <v>42627.321527777778</v>
      </c>
      <c r="F26" s="24">
        <v>42685.840277777781</v>
      </c>
      <c r="G26" s="25">
        <f t="shared" si="0"/>
        <v>58.51875000000291</v>
      </c>
      <c r="H26" s="7"/>
      <c r="I26" s="7" t="s">
        <v>93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H2" sqref="H2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8.140625" customWidth="1"/>
    <col min="9" max="9" width="19.5703125" customWidth="1"/>
  </cols>
  <sheetData>
    <row r="1" spans="1:9" x14ac:dyDescent="0.25">
      <c r="A1" t="s">
        <v>46</v>
      </c>
      <c r="B1" s="10">
        <v>42591</v>
      </c>
      <c r="C1" s="10" t="s">
        <v>3</v>
      </c>
    </row>
    <row r="3" spans="1:9" s="15" customFormat="1" ht="48.75" customHeight="1" x14ac:dyDescent="0.25">
      <c r="A3" s="13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6" t="s">
        <v>219</v>
      </c>
      <c r="I3" s="26" t="s">
        <v>79</v>
      </c>
    </row>
    <row r="4" spans="1:9" x14ac:dyDescent="0.25">
      <c r="A4" s="16"/>
      <c r="B4" s="11"/>
      <c r="C4" s="11"/>
      <c r="D4" s="11"/>
      <c r="E4" s="11"/>
      <c r="F4" s="11"/>
      <c r="G4" s="11"/>
      <c r="H4" s="11"/>
      <c r="I4" s="9"/>
    </row>
    <row r="5" spans="1:9" x14ac:dyDescent="0.25">
      <c r="A5" s="17"/>
      <c r="B5" s="12"/>
      <c r="C5" s="12"/>
      <c r="D5" s="12"/>
      <c r="E5" s="12" t="s">
        <v>3</v>
      </c>
      <c r="F5" s="12"/>
      <c r="G5" s="12"/>
      <c r="H5" s="7"/>
      <c r="I5" s="7"/>
    </row>
    <row r="6" spans="1:9" x14ac:dyDescent="0.25">
      <c r="A6" s="6" t="s">
        <v>60</v>
      </c>
      <c r="B6" s="9" t="s">
        <v>31</v>
      </c>
      <c r="C6" s="18">
        <v>42591</v>
      </c>
      <c r="D6" s="6" t="s">
        <v>41</v>
      </c>
      <c r="E6" s="19">
        <v>42591.334027777775</v>
      </c>
      <c r="F6" s="19">
        <v>42599.832638888889</v>
      </c>
      <c r="G6" s="20">
        <f>F6-E6</f>
        <v>8.4986111111138598</v>
      </c>
      <c r="H6" s="28" t="s">
        <v>78</v>
      </c>
      <c r="I6" s="9" t="s">
        <v>100</v>
      </c>
    </row>
    <row r="7" spans="1:9" x14ac:dyDescent="0.25">
      <c r="A7" s="9"/>
      <c r="B7" s="9" t="s">
        <v>34</v>
      </c>
      <c r="C7" s="8">
        <v>42595</v>
      </c>
      <c r="D7" s="9" t="s">
        <v>37</v>
      </c>
      <c r="E7" s="21">
        <v>42595.397222222222</v>
      </c>
      <c r="F7" s="21">
        <v>42599.888194444444</v>
      </c>
      <c r="G7" s="22">
        <f t="shared" ref="G7:G25" si="0">F7-E7</f>
        <v>4.4909722222218988</v>
      </c>
      <c r="H7" s="28">
        <v>73</v>
      </c>
      <c r="I7" s="9" t="s">
        <v>101</v>
      </c>
    </row>
    <row r="8" spans="1:9" x14ac:dyDescent="0.25">
      <c r="A8" s="9"/>
      <c r="B8" s="9" t="s">
        <v>36</v>
      </c>
      <c r="C8" s="8">
        <v>42504</v>
      </c>
      <c r="D8" s="9" t="s">
        <v>39</v>
      </c>
      <c r="E8" s="21">
        <v>42596.326388888891</v>
      </c>
      <c r="F8" s="21">
        <v>42599.945138888892</v>
      </c>
      <c r="G8" s="22">
        <f t="shared" si="0"/>
        <v>3.6187500000014552</v>
      </c>
      <c r="H8" s="28">
        <v>301.5</v>
      </c>
      <c r="I8" s="9" t="s">
        <v>102</v>
      </c>
    </row>
    <row r="9" spans="1:9" x14ac:dyDescent="0.25">
      <c r="A9" s="9"/>
      <c r="B9" s="9" t="s">
        <v>48</v>
      </c>
      <c r="C9" s="8" t="s">
        <v>3</v>
      </c>
      <c r="D9" s="9" t="s">
        <v>3</v>
      </c>
      <c r="E9" s="21">
        <v>42596.827777777777</v>
      </c>
      <c r="F9" s="21">
        <v>42600</v>
      </c>
      <c r="G9" s="22">
        <f t="shared" si="0"/>
        <v>3.172222222223354</v>
      </c>
      <c r="H9" s="28">
        <v>153.5</v>
      </c>
      <c r="I9" s="9" t="s">
        <v>103</v>
      </c>
    </row>
    <row r="10" spans="1:9" x14ac:dyDescent="0.25">
      <c r="A10" s="9"/>
      <c r="B10" s="9" t="s">
        <v>38</v>
      </c>
      <c r="C10" s="8">
        <v>42597</v>
      </c>
      <c r="D10" s="9" t="s">
        <v>32</v>
      </c>
      <c r="E10" s="21">
        <v>42597.319444444445</v>
      </c>
      <c r="F10" s="21">
        <v>42600.556250000001</v>
      </c>
      <c r="G10" s="22">
        <f t="shared" si="0"/>
        <v>3.2368055555562023</v>
      </c>
      <c r="H10" s="28">
        <v>526</v>
      </c>
      <c r="I10" s="9" t="s">
        <v>104</v>
      </c>
    </row>
    <row r="11" spans="1:9" x14ac:dyDescent="0.25">
      <c r="A11" s="9"/>
      <c r="B11" s="9" t="s">
        <v>49</v>
      </c>
      <c r="C11" s="8" t="s">
        <v>3</v>
      </c>
      <c r="D11" s="9" t="s">
        <v>3</v>
      </c>
      <c r="E11" s="21">
        <v>42597.847222222219</v>
      </c>
      <c r="F11" s="21">
        <v>42619.563194444447</v>
      </c>
      <c r="G11" s="22">
        <f t="shared" si="0"/>
        <v>21.71597222222772</v>
      </c>
      <c r="H11" s="28">
        <v>1470</v>
      </c>
      <c r="I11" s="9" t="s">
        <v>105</v>
      </c>
    </row>
    <row r="12" spans="1:9" x14ac:dyDescent="0.25">
      <c r="A12" s="11"/>
      <c r="B12" s="9" t="s">
        <v>40</v>
      </c>
      <c r="C12" s="8">
        <v>42598</v>
      </c>
      <c r="D12" s="9" t="s">
        <v>57</v>
      </c>
      <c r="E12" s="21">
        <v>42598.333333333336</v>
      </c>
      <c r="F12" s="21">
        <v>42619.623611111114</v>
      </c>
      <c r="G12" s="22">
        <f t="shared" si="0"/>
        <v>21.290277777778101</v>
      </c>
      <c r="H12" s="28">
        <v>2108</v>
      </c>
      <c r="I12" s="9" t="s">
        <v>106</v>
      </c>
    </row>
    <row r="13" spans="1:9" x14ac:dyDescent="0.25">
      <c r="A13" s="11"/>
      <c r="B13" s="9" t="s">
        <v>50</v>
      </c>
      <c r="C13" s="8" t="s">
        <v>3</v>
      </c>
      <c r="D13" s="9"/>
      <c r="E13" s="21">
        <v>42598.5</v>
      </c>
      <c r="F13" s="21">
        <v>42619.679861111108</v>
      </c>
      <c r="G13" s="22">
        <f t="shared" si="0"/>
        <v>21.179861111108039</v>
      </c>
      <c r="H13" s="30"/>
      <c r="I13" s="9" t="s">
        <v>107</v>
      </c>
    </row>
    <row r="14" spans="1:9" x14ac:dyDescent="0.25">
      <c r="A14" s="11"/>
      <c r="B14" s="9" t="s">
        <v>51</v>
      </c>
      <c r="C14" s="8" t="s">
        <v>3</v>
      </c>
      <c r="D14" s="9" t="s">
        <v>3</v>
      </c>
      <c r="E14" s="21">
        <v>42598.660416666666</v>
      </c>
      <c r="F14" s="21">
        <v>42619.737500000003</v>
      </c>
      <c r="G14" s="22">
        <f t="shared" si="0"/>
        <v>21.077083333337214</v>
      </c>
      <c r="H14" s="28">
        <v>1914.5</v>
      </c>
      <c r="I14" s="9" t="s">
        <v>108</v>
      </c>
    </row>
    <row r="15" spans="1:9" x14ac:dyDescent="0.25">
      <c r="A15" s="11"/>
      <c r="B15" s="9" t="s">
        <v>52</v>
      </c>
      <c r="C15" s="9"/>
      <c r="D15" s="9"/>
      <c r="E15" s="21">
        <v>42598.835416666669</v>
      </c>
      <c r="F15" s="21">
        <v>42619.795138888891</v>
      </c>
      <c r="G15" s="22">
        <f t="shared" si="0"/>
        <v>20.959722222221899</v>
      </c>
      <c r="H15" s="30"/>
      <c r="I15" s="9" t="s">
        <v>109</v>
      </c>
    </row>
    <row r="16" spans="1:9" x14ac:dyDescent="0.25">
      <c r="A16" s="11"/>
      <c r="B16" s="9" t="s">
        <v>53</v>
      </c>
      <c r="C16" s="8">
        <v>42599</v>
      </c>
      <c r="D16" s="9" t="s">
        <v>43</v>
      </c>
      <c r="E16" s="21">
        <v>42599.355555555558</v>
      </c>
      <c r="F16" s="21">
        <v>42619.850694444445</v>
      </c>
      <c r="G16" s="22">
        <f t="shared" si="0"/>
        <v>20.495138888887595</v>
      </c>
      <c r="H16" s="28">
        <v>5899</v>
      </c>
      <c r="I16" s="9" t="s">
        <v>110</v>
      </c>
    </row>
    <row r="17" spans="1:9" x14ac:dyDescent="0.25">
      <c r="A17" s="11"/>
      <c r="B17" s="9" t="s">
        <v>55</v>
      </c>
      <c r="C17" s="9"/>
      <c r="D17" s="9"/>
      <c r="E17" s="21">
        <v>42599.529861111114</v>
      </c>
      <c r="F17" s="21">
        <v>42619.90625</v>
      </c>
      <c r="G17" s="22">
        <f t="shared" si="0"/>
        <v>20.37638888888614</v>
      </c>
      <c r="H17" s="22"/>
      <c r="I17" s="9" t="s">
        <v>111</v>
      </c>
    </row>
    <row r="18" spans="1:9" x14ac:dyDescent="0.25">
      <c r="A18" s="11"/>
      <c r="B18" s="9" t="s">
        <v>56</v>
      </c>
      <c r="C18" s="8" t="s">
        <v>3</v>
      </c>
      <c r="D18" s="9" t="s">
        <v>3</v>
      </c>
      <c r="E18" s="21">
        <v>42599.7</v>
      </c>
      <c r="F18" s="21">
        <v>42619.962500000001</v>
      </c>
      <c r="G18" s="22">
        <f t="shared" si="0"/>
        <v>20.262500000004366</v>
      </c>
      <c r="H18" s="22"/>
      <c r="I18" s="9" t="s">
        <v>112</v>
      </c>
    </row>
    <row r="19" spans="1:9" x14ac:dyDescent="0.25">
      <c r="A19" s="11"/>
      <c r="B19" s="9" t="s">
        <v>54</v>
      </c>
      <c r="C19" s="9"/>
      <c r="D19" s="9"/>
      <c r="E19" s="21">
        <v>42599.866666666669</v>
      </c>
      <c r="F19" s="21">
        <v>42620.017361111109</v>
      </c>
      <c r="G19" s="22">
        <f t="shared" si="0"/>
        <v>20.150694444440887</v>
      </c>
      <c r="H19" s="22"/>
      <c r="I19" s="9" t="s">
        <v>113</v>
      </c>
    </row>
    <row r="20" spans="1:9" x14ac:dyDescent="0.25">
      <c r="A20" s="11"/>
      <c r="B20" s="9" t="s">
        <v>42</v>
      </c>
      <c r="C20" s="8">
        <v>42600</v>
      </c>
      <c r="D20" s="9" t="s">
        <v>45</v>
      </c>
      <c r="E20" s="21">
        <v>42600.307638888888</v>
      </c>
      <c r="F20" s="21">
        <v>42620.070833333331</v>
      </c>
      <c r="G20" s="22">
        <f t="shared" si="0"/>
        <v>19.763194444443798</v>
      </c>
      <c r="H20" s="22"/>
      <c r="I20" s="9" t="s">
        <v>114</v>
      </c>
    </row>
    <row r="21" spans="1:9" x14ac:dyDescent="0.25">
      <c r="A21" s="11"/>
      <c r="B21" s="9" t="s">
        <v>44</v>
      </c>
      <c r="C21" s="8" t="s">
        <v>3</v>
      </c>
      <c r="D21" s="9" t="s">
        <v>3</v>
      </c>
      <c r="E21" s="21">
        <v>42600.824305555558</v>
      </c>
      <c r="F21" s="21">
        <v>42628.245138888888</v>
      </c>
      <c r="G21" s="22">
        <f t="shared" si="0"/>
        <v>27.420833333329938</v>
      </c>
      <c r="H21" s="22"/>
      <c r="I21" s="9" t="s">
        <v>115</v>
      </c>
    </row>
    <row r="22" spans="1:9" x14ac:dyDescent="0.25">
      <c r="A22" s="11"/>
      <c r="B22" s="9" t="s">
        <v>58</v>
      </c>
      <c r="C22" s="8">
        <v>42601</v>
      </c>
      <c r="D22" s="9" t="s">
        <v>35</v>
      </c>
      <c r="E22" s="21">
        <v>42601.29791666667</v>
      </c>
      <c r="F22" s="21">
        <v>42628.304861111108</v>
      </c>
      <c r="G22" s="22">
        <f t="shared" si="0"/>
        <v>27.006944444437977</v>
      </c>
      <c r="H22" s="22"/>
      <c r="I22" s="9" t="s">
        <v>116</v>
      </c>
    </row>
    <row r="23" spans="1:9" x14ac:dyDescent="0.25">
      <c r="A23" s="11"/>
      <c r="B23" s="9" t="s">
        <v>59</v>
      </c>
      <c r="C23" s="8" t="s">
        <v>3</v>
      </c>
      <c r="D23" s="9" t="s">
        <v>3</v>
      </c>
      <c r="E23" s="21">
        <v>42601.804166666669</v>
      </c>
      <c r="F23" s="21">
        <v>42628.363194444442</v>
      </c>
      <c r="G23" s="22">
        <f t="shared" si="0"/>
        <v>26.559027777773736</v>
      </c>
      <c r="H23" s="22"/>
      <c r="I23" s="9" t="s">
        <v>117</v>
      </c>
    </row>
    <row r="24" spans="1:9" x14ac:dyDescent="0.25">
      <c r="A24" s="11"/>
      <c r="B24" s="9" t="s">
        <v>71</v>
      </c>
      <c r="C24" s="8">
        <v>42616</v>
      </c>
      <c r="D24" s="9" t="s">
        <v>37</v>
      </c>
      <c r="E24" s="21">
        <v>42612.363888888889</v>
      </c>
      <c r="F24" s="21">
        <v>42632.781944444447</v>
      </c>
      <c r="G24" s="22">
        <f t="shared" si="0"/>
        <v>20.418055555557657</v>
      </c>
      <c r="H24" s="22"/>
      <c r="I24" s="9" t="s">
        <v>176</v>
      </c>
    </row>
    <row r="25" spans="1:9" x14ac:dyDescent="0.25">
      <c r="A25" s="12"/>
      <c r="B25" s="7" t="s">
        <v>72</v>
      </c>
      <c r="C25" s="23">
        <v>42627</v>
      </c>
      <c r="D25" s="7" t="s">
        <v>43</v>
      </c>
      <c r="E25" s="24">
        <v>42627.399305555555</v>
      </c>
      <c r="F25" s="24">
        <v>42685.893055555556</v>
      </c>
      <c r="G25" s="25">
        <f t="shared" si="0"/>
        <v>58.493750000001455</v>
      </c>
      <c r="H25" s="25"/>
      <c r="I25" s="7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H1" sqref="H1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8.28515625" customWidth="1"/>
    <col min="9" max="9" width="24.7109375" customWidth="1"/>
  </cols>
  <sheetData>
    <row r="1" spans="1:9" x14ac:dyDescent="0.25">
      <c r="A1" t="s">
        <v>46</v>
      </c>
      <c r="B1" s="10">
        <v>42591</v>
      </c>
      <c r="C1" s="10" t="s">
        <v>3</v>
      </c>
    </row>
    <row r="3" spans="1:9" s="15" customFormat="1" ht="48.75" customHeight="1" x14ac:dyDescent="0.25">
      <c r="A3" s="13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6" t="s">
        <v>219</v>
      </c>
      <c r="I3" s="26" t="s">
        <v>79</v>
      </c>
    </row>
    <row r="4" spans="1:9" x14ac:dyDescent="0.25">
      <c r="A4" s="16"/>
      <c r="B4" s="11"/>
      <c r="C4" s="11"/>
      <c r="D4" s="11"/>
      <c r="E4" s="11"/>
      <c r="F4" s="11"/>
      <c r="G4" s="11"/>
      <c r="H4" s="11"/>
      <c r="I4" s="9"/>
    </row>
    <row r="5" spans="1:9" x14ac:dyDescent="0.25">
      <c r="A5" s="17"/>
      <c r="B5" s="12"/>
      <c r="C5" s="12"/>
      <c r="D5" s="12"/>
      <c r="E5" s="12" t="s">
        <v>3</v>
      </c>
      <c r="F5" s="12"/>
      <c r="G5" s="12"/>
      <c r="H5" s="7"/>
      <c r="I5" s="7"/>
    </row>
    <row r="6" spans="1:9" x14ac:dyDescent="0.25">
      <c r="A6" s="6" t="s">
        <v>61</v>
      </c>
      <c r="B6" s="9" t="s">
        <v>31</v>
      </c>
      <c r="C6" s="18">
        <v>42591</v>
      </c>
      <c r="D6" s="6" t="s">
        <v>41</v>
      </c>
      <c r="E6" s="19">
        <v>42591.349305555559</v>
      </c>
      <c r="F6" s="19">
        <v>42600.531944444447</v>
      </c>
      <c r="G6" s="20">
        <f>F6-E6</f>
        <v>9.1826388888875954</v>
      </c>
      <c r="H6" s="28" t="s">
        <v>78</v>
      </c>
      <c r="I6" s="9" t="s">
        <v>119</v>
      </c>
    </row>
    <row r="7" spans="1:9" x14ac:dyDescent="0.25">
      <c r="A7" s="9"/>
      <c r="B7" s="9" t="s">
        <v>34</v>
      </c>
      <c r="C7" s="8">
        <v>42595</v>
      </c>
      <c r="D7" s="9" t="s">
        <v>37</v>
      </c>
      <c r="E7" s="21">
        <v>42595.351388888892</v>
      </c>
      <c r="F7" s="21">
        <v>42600.589583333334</v>
      </c>
      <c r="G7" s="22">
        <f t="shared" ref="G7:G25" si="0">F7-E7</f>
        <v>5.2381944444423425</v>
      </c>
      <c r="H7" s="28">
        <v>101</v>
      </c>
      <c r="I7" s="9" t="s">
        <v>120</v>
      </c>
    </row>
    <row r="8" spans="1:9" x14ac:dyDescent="0.25">
      <c r="A8" s="9"/>
      <c r="B8" s="9" t="s">
        <v>36</v>
      </c>
      <c r="C8" s="8">
        <v>42504</v>
      </c>
      <c r="D8" s="9" t="s">
        <v>39</v>
      </c>
      <c r="E8" s="21">
        <v>42596.37222222222</v>
      </c>
      <c r="F8" s="21">
        <v>42600.646527777775</v>
      </c>
      <c r="G8" s="22">
        <f t="shared" si="0"/>
        <v>4.2743055555547471</v>
      </c>
      <c r="H8" s="28">
        <v>2088</v>
      </c>
      <c r="I8" s="9" t="s">
        <v>121</v>
      </c>
    </row>
    <row r="9" spans="1:9" x14ac:dyDescent="0.25">
      <c r="A9" s="9"/>
      <c r="B9" s="9" t="s">
        <v>48</v>
      </c>
      <c r="C9" s="8" t="s">
        <v>3</v>
      </c>
      <c r="D9" s="9" t="s">
        <v>3</v>
      </c>
      <c r="E9" s="21">
        <v>42596.853472222225</v>
      </c>
      <c r="F9" s="21">
        <v>42600.705555555556</v>
      </c>
      <c r="G9" s="22">
        <f t="shared" si="0"/>
        <v>3.8520833333313931</v>
      </c>
      <c r="H9" s="28">
        <v>378.5</v>
      </c>
      <c r="I9" s="9" t="s">
        <v>122</v>
      </c>
    </row>
    <row r="10" spans="1:9" x14ac:dyDescent="0.25">
      <c r="A10" s="9"/>
      <c r="B10" s="9" t="s">
        <v>38</v>
      </c>
      <c r="C10" s="8">
        <v>42597</v>
      </c>
      <c r="D10" s="9" t="s">
        <v>32</v>
      </c>
      <c r="E10" s="21">
        <v>42597.380555555559</v>
      </c>
      <c r="F10" s="21">
        <v>42600.763888888891</v>
      </c>
      <c r="G10" s="22">
        <f t="shared" si="0"/>
        <v>3.3833333333313931</v>
      </c>
      <c r="H10" s="28">
        <v>2036.5</v>
      </c>
      <c r="I10" s="9" t="s">
        <v>123</v>
      </c>
    </row>
    <row r="11" spans="1:9" x14ac:dyDescent="0.25">
      <c r="A11" s="9"/>
      <c r="B11" s="9" t="s">
        <v>49</v>
      </c>
      <c r="C11" s="8" t="s">
        <v>3</v>
      </c>
      <c r="D11" s="9" t="s">
        <v>3</v>
      </c>
      <c r="E11" s="21">
        <v>42597.853472222225</v>
      </c>
      <c r="F11" s="21">
        <v>42620.563888888886</v>
      </c>
      <c r="G11" s="22">
        <f t="shared" si="0"/>
        <v>22.710416666661331</v>
      </c>
      <c r="H11" s="28">
        <v>8911</v>
      </c>
      <c r="I11" s="9" t="s">
        <v>124</v>
      </c>
    </row>
    <row r="12" spans="1:9" x14ac:dyDescent="0.25">
      <c r="A12" s="11"/>
      <c r="B12" s="9" t="s">
        <v>40</v>
      </c>
      <c r="C12" s="8">
        <v>42598</v>
      </c>
      <c r="D12" s="9" t="s">
        <v>57</v>
      </c>
      <c r="E12" s="21">
        <v>42598.357638888891</v>
      </c>
      <c r="F12" s="21">
        <v>42620.623611111114</v>
      </c>
      <c r="G12" s="22">
        <f t="shared" si="0"/>
        <v>22.265972222223354</v>
      </c>
      <c r="H12" s="28">
        <v>30570.5</v>
      </c>
      <c r="I12" s="9" t="s">
        <v>125</v>
      </c>
    </row>
    <row r="13" spans="1:9" x14ac:dyDescent="0.25">
      <c r="A13" s="11"/>
      <c r="B13" s="9" t="s">
        <v>50</v>
      </c>
      <c r="C13" s="8" t="s">
        <v>3</v>
      </c>
      <c r="D13" s="9"/>
      <c r="E13" s="21">
        <v>42598.533333333333</v>
      </c>
      <c r="F13" s="21">
        <v>42620.679861111108</v>
      </c>
      <c r="G13" s="22">
        <f t="shared" si="0"/>
        <v>22.146527777775191</v>
      </c>
      <c r="H13" s="31"/>
      <c r="I13" s="9" t="s">
        <v>126</v>
      </c>
    </row>
    <row r="14" spans="1:9" x14ac:dyDescent="0.25">
      <c r="A14" s="11"/>
      <c r="B14" s="9" t="s">
        <v>51</v>
      </c>
      <c r="C14" s="8" t="s">
        <v>3</v>
      </c>
      <c r="D14" s="9" t="s">
        <v>3</v>
      </c>
      <c r="E14" s="21">
        <v>42598.683333333334</v>
      </c>
      <c r="F14" s="21">
        <v>42620.739583333336</v>
      </c>
      <c r="G14" s="22">
        <f t="shared" si="0"/>
        <v>22.056250000001455</v>
      </c>
      <c r="H14" s="28">
        <v>14499.5</v>
      </c>
      <c r="I14" s="9" t="s">
        <v>127</v>
      </c>
    </row>
    <row r="15" spans="1:9" x14ac:dyDescent="0.25">
      <c r="A15" s="11"/>
      <c r="B15" s="9" t="s">
        <v>52</v>
      </c>
      <c r="C15" s="9"/>
      <c r="D15" s="9"/>
      <c r="E15" s="21">
        <v>42598.861111111109</v>
      </c>
      <c r="F15" s="21">
        <v>42620.799305555556</v>
      </c>
      <c r="G15" s="22">
        <f t="shared" si="0"/>
        <v>21.938194444446708</v>
      </c>
      <c r="H15" s="31"/>
      <c r="I15" s="9" t="s">
        <v>128</v>
      </c>
    </row>
    <row r="16" spans="1:9" x14ac:dyDescent="0.25">
      <c r="A16" s="11"/>
      <c r="B16" s="9" t="s">
        <v>53</v>
      </c>
      <c r="C16" s="8">
        <v>42599</v>
      </c>
      <c r="D16" s="9" t="s">
        <v>43</v>
      </c>
      <c r="E16" s="21">
        <v>42599.298611111109</v>
      </c>
      <c r="F16" s="21">
        <v>42620.854166666664</v>
      </c>
      <c r="G16" s="22">
        <f t="shared" si="0"/>
        <v>21.555555555554747</v>
      </c>
      <c r="H16" s="28">
        <v>75231</v>
      </c>
      <c r="I16" s="9" t="s">
        <v>129</v>
      </c>
    </row>
    <row r="17" spans="1:9" x14ac:dyDescent="0.25">
      <c r="A17" s="11"/>
      <c r="B17" s="9" t="s">
        <v>55</v>
      </c>
      <c r="C17" s="9"/>
      <c r="D17" s="9"/>
      <c r="E17" s="21">
        <v>42599.534722222219</v>
      </c>
      <c r="F17" s="21">
        <v>42620.910416666666</v>
      </c>
      <c r="G17" s="22">
        <f t="shared" si="0"/>
        <v>21.375694444446708</v>
      </c>
      <c r="I17" s="9" t="s">
        <v>130</v>
      </c>
    </row>
    <row r="18" spans="1:9" x14ac:dyDescent="0.25">
      <c r="A18" s="11"/>
      <c r="B18" s="9" t="s">
        <v>56</v>
      </c>
      <c r="C18" s="8" t="s">
        <v>3</v>
      </c>
      <c r="D18" s="9" t="s">
        <v>3</v>
      </c>
      <c r="E18" s="21">
        <v>42599.704861111109</v>
      </c>
      <c r="F18" s="21">
        <v>42620.967361111114</v>
      </c>
      <c r="G18" s="22">
        <f t="shared" si="0"/>
        <v>21.262500000004366</v>
      </c>
      <c r="I18" s="9" t="s">
        <v>131</v>
      </c>
    </row>
    <row r="19" spans="1:9" x14ac:dyDescent="0.25">
      <c r="A19" s="11"/>
      <c r="B19" s="9" t="s">
        <v>54</v>
      </c>
      <c r="C19" s="9"/>
      <c r="D19" s="9"/>
      <c r="E19" s="21">
        <v>42599.872916666667</v>
      </c>
      <c r="F19" s="21">
        <v>42621.021527777775</v>
      </c>
      <c r="G19" s="22">
        <f t="shared" si="0"/>
        <v>21.148611111108039</v>
      </c>
      <c r="I19" s="9" t="s">
        <v>132</v>
      </c>
    </row>
    <row r="20" spans="1:9" x14ac:dyDescent="0.25">
      <c r="A20" s="11"/>
      <c r="B20" s="9" t="s">
        <v>42</v>
      </c>
      <c r="C20" s="8">
        <v>42600</v>
      </c>
      <c r="D20" s="9" t="s">
        <v>45</v>
      </c>
      <c r="E20" s="21">
        <v>42600.311805555553</v>
      </c>
      <c r="F20" s="21">
        <v>42621.077777777777</v>
      </c>
      <c r="G20" s="22">
        <f t="shared" si="0"/>
        <v>20.765972222223354</v>
      </c>
      <c r="I20" s="9" t="s">
        <v>133</v>
      </c>
    </row>
    <row r="21" spans="1:9" x14ac:dyDescent="0.25">
      <c r="A21" s="11"/>
      <c r="B21" s="9" t="s">
        <v>44</v>
      </c>
      <c r="C21" s="8" t="s">
        <v>3</v>
      </c>
      <c r="D21" s="9" t="s">
        <v>3</v>
      </c>
      <c r="E21" s="21">
        <v>42600.830555555556</v>
      </c>
      <c r="F21" s="21">
        <v>42628.922222222223</v>
      </c>
      <c r="G21" s="22">
        <f t="shared" si="0"/>
        <v>28.091666666667152</v>
      </c>
      <c r="I21" s="9" t="s">
        <v>134</v>
      </c>
    </row>
    <row r="22" spans="1:9" x14ac:dyDescent="0.25">
      <c r="A22" s="11"/>
      <c r="B22" s="9" t="s">
        <v>58</v>
      </c>
      <c r="C22" s="8">
        <v>42601</v>
      </c>
      <c r="D22" s="9" t="s">
        <v>35</v>
      </c>
      <c r="E22" s="21">
        <v>42601.301388888889</v>
      </c>
      <c r="F22" s="21">
        <v>42628.981944444444</v>
      </c>
      <c r="G22" s="22">
        <f t="shared" si="0"/>
        <v>27.680555555554747</v>
      </c>
      <c r="I22" s="9" t="s">
        <v>135</v>
      </c>
    </row>
    <row r="23" spans="1:9" x14ac:dyDescent="0.25">
      <c r="A23" s="11"/>
      <c r="B23" s="9" t="s">
        <v>59</v>
      </c>
      <c r="C23" s="8" t="s">
        <v>3</v>
      </c>
      <c r="D23" s="9" t="s">
        <v>3</v>
      </c>
      <c r="E23" s="21">
        <v>42601.811111111114</v>
      </c>
      <c r="F23" s="21">
        <v>42629.039583333331</v>
      </c>
      <c r="G23" s="22">
        <f t="shared" si="0"/>
        <v>27.228472222217533</v>
      </c>
      <c r="I23" s="9" t="s">
        <v>136</v>
      </c>
    </row>
    <row r="24" spans="1:9" x14ac:dyDescent="0.25">
      <c r="A24" s="11"/>
      <c r="B24" s="9" t="s">
        <v>73</v>
      </c>
      <c r="C24" s="8">
        <v>42624</v>
      </c>
      <c r="D24" s="9" t="s">
        <v>37</v>
      </c>
      <c r="E24" s="21">
        <v>42624.376388888886</v>
      </c>
      <c r="F24" s="21">
        <v>42685.785416666666</v>
      </c>
      <c r="G24" s="22">
        <f t="shared" si="0"/>
        <v>61.409027777779556</v>
      </c>
      <c r="I24" s="9" t="s">
        <v>177</v>
      </c>
    </row>
    <row r="25" spans="1:9" x14ac:dyDescent="0.25">
      <c r="A25" s="12"/>
      <c r="B25" s="7" t="s">
        <v>72</v>
      </c>
      <c r="C25" s="23">
        <v>42627</v>
      </c>
      <c r="D25" s="7" t="s">
        <v>43</v>
      </c>
      <c r="E25" s="24">
        <v>42627.370138888888</v>
      </c>
      <c r="F25" s="24">
        <v>42685.947222222225</v>
      </c>
      <c r="G25" s="25">
        <f t="shared" si="0"/>
        <v>58.577083333337214</v>
      </c>
      <c r="H25" s="12"/>
      <c r="I25" s="7" t="s">
        <v>137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H1" sqref="H1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7.140625" customWidth="1"/>
    <col min="9" max="9" width="24.42578125" customWidth="1"/>
  </cols>
  <sheetData>
    <row r="1" spans="1:14" x14ac:dyDescent="0.25">
      <c r="A1" t="s">
        <v>46</v>
      </c>
      <c r="B1" s="10">
        <v>42591</v>
      </c>
      <c r="C1" s="10" t="s">
        <v>3</v>
      </c>
    </row>
    <row r="3" spans="1:14" s="15" customFormat="1" ht="48.75" customHeight="1" x14ac:dyDescent="0.25">
      <c r="A3" s="13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6" t="s">
        <v>219</v>
      </c>
      <c r="I3" s="26" t="s">
        <v>79</v>
      </c>
    </row>
    <row r="4" spans="1:14" x14ac:dyDescent="0.25">
      <c r="A4" s="16"/>
      <c r="B4" s="11"/>
      <c r="C4" s="11"/>
      <c r="D4" s="11"/>
      <c r="E4" s="11"/>
      <c r="F4" s="11"/>
      <c r="G4" s="11"/>
      <c r="H4" s="11"/>
      <c r="I4" s="9"/>
    </row>
    <row r="5" spans="1:14" x14ac:dyDescent="0.25">
      <c r="A5" s="17"/>
      <c r="B5" s="12"/>
      <c r="C5" s="12"/>
      <c r="D5" s="12"/>
      <c r="E5" s="12" t="s">
        <v>3</v>
      </c>
      <c r="F5" s="12"/>
      <c r="G5" s="12"/>
      <c r="H5" s="7"/>
      <c r="I5" s="7"/>
    </row>
    <row r="6" spans="1:14" x14ac:dyDescent="0.25">
      <c r="A6" s="6" t="s">
        <v>62</v>
      </c>
      <c r="B6" s="9" t="s">
        <v>31</v>
      </c>
      <c r="C6" s="18">
        <v>42591</v>
      </c>
      <c r="D6" s="6" t="s">
        <v>41</v>
      </c>
      <c r="E6" s="19">
        <v>42591.357638888891</v>
      </c>
      <c r="F6" s="19">
        <v>42600.817361111112</v>
      </c>
      <c r="G6" s="20">
        <f>F6-E6</f>
        <v>9.4597222222218988</v>
      </c>
      <c r="H6" s="28" t="s">
        <v>78</v>
      </c>
      <c r="I6" s="9" t="s">
        <v>138</v>
      </c>
      <c r="J6" t="s">
        <v>3</v>
      </c>
      <c r="K6" t="s">
        <v>3</v>
      </c>
      <c r="L6" t="s">
        <v>3</v>
      </c>
      <c r="M6" t="s">
        <v>3</v>
      </c>
      <c r="N6" t="s">
        <v>3</v>
      </c>
    </row>
    <row r="7" spans="1:14" x14ac:dyDescent="0.25">
      <c r="A7" s="9"/>
      <c r="B7" s="9" t="s">
        <v>34</v>
      </c>
      <c r="C7" s="8">
        <v>42595</v>
      </c>
      <c r="D7" s="9" t="s">
        <v>37</v>
      </c>
      <c r="E7" s="21">
        <v>42595.32916666667</v>
      </c>
      <c r="F7" s="21">
        <v>42600.873611111114</v>
      </c>
      <c r="G7" s="22">
        <f t="shared" ref="G7:G25" si="0">F7-E7</f>
        <v>5.5444444444437977</v>
      </c>
      <c r="H7" s="28">
        <v>136</v>
      </c>
      <c r="I7" s="9" t="s">
        <v>139</v>
      </c>
    </row>
    <row r="8" spans="1:14" x14ac:dyDescent="0.25">
      <c r="A8" s="9"/>
      <c r="B8" s="9" t="s">
        <v>36</v>
      </c>
      <c r="C8" s="8">
        <v>42504</v>
      </c>
      <c r="D8" s="9" t="s">
        <v>39</v>
      </c>
      <c r="E8" s="21">
        <v>42596.305555555555</v>
      </c>
      <c r="F8" s="21">
        <v>42600.929861111108</v>
      </c>
      <c r="G8" s="22">
        <f t="shared" si="0"/>
        <v>4.6243055555532919</v>
      </c>
      <c r="H8" s="28">
        <v>883.5</v>
      </c>
      <c r="I8" s="9" t="s">
        <v>140</v>
      </c>
    </row>
    <row r="9" spans="1:14" x14ac:dyDescent="0.25">
      <c r="A9" s="9"/>
      <c r="B9" s="9" t="s">
        <v>48</v>
      </c>
      <c r="C9" s="8" t="s">
        <v>3</v>
      </c>
      <c r="D9" s="9" t="s">
        <v>3</v>
      </c>
      <c r="E9" s="21">
        <v>42596.845138888886</v>
      </c>
      <c r="F9" s="21">
        <v>42600.984722222223</v>
      </c>
      <c r="G9" s="22">
        <f t="shared" si="0"/>
        <v>4.1395833333372138</v>
      </c>
      <c r="H9" s="28">
        <v>257.5</v>
      </c>
      <c r="I9" s="9" t="s">
        <v>141</v>
      </c>
    </row>
    <row r="10" spans="1:14" x14ac:dyDescent="0.25">
      <c r="A10" s="9"/>
      <c r="B10" s="9" t="s">
        <v>38</v>
      </c>
      <c r="C10" s="8">
        <v>42597</v>
      </c>
      <c r="D10" s="9" t="s">
        <v>32</v>
      </c>
      <c r="E10" s="21">
        <v>42597.324999999997</v>
      </c>
      <c r="F10" s="21">
        <v>42601.040277777778</v>
      </c>
      <c r="G10" s="22">
        <f t="shared" si="0"/>
        <v>3.7152777777810115</v>
      </c>
      <c r="H10" s="28">
        <v>841</v>
      </c>
      <c r="I10" s="9" t="s">
        <v>142</v>
      </c>
    </row>
    <row r="11" spans="1:14" x14ac:dyDescent="0.25">
      <c r="A11" s="9"/>
      <c r="B11" s="9" t="s">
        <v>49</v>
      </c>
      <c r="C11" s="8" t="s">
        <v>3</v>
      </c>
      <c r="D11" s="9" t="s">
        <v>3</v>
      </c>
      <c r="E11" s="21">
        <v>42597.84097222222</v>
      </c>
      <c r="F11" s="21">
        <v>42621.563194444447</v>
      </c>
      <c r="G11" s="22">
        <f t="shared" si="0"/>
        <v>23.722222222226264</v>
      </c>
      <c r="H11" s="28">
        <v>4496.5</v>
      </c>
      <c r="I11" s="9" t="s">
        <v>143</v>
      </c>
    </row>
    <row r="12" spans="1:14" x14ac:dyDescent="0.25">
      <c r="A12" s="11"/>
      <c r="B12" s="9" t="s">
        <v>40</v>
      </c>
      <c r="C12" s="8">
        <v>42598</v>
      </c>
      <c r="D12" s="9" t="s">
        <v>57</v>
      </c>
      <c r="E12" s="21">
        <v>42598.32708333333</v>
      </c>
      <c r="F12" s="21">
        <v>42621.624305555553</v>
      </c>
      <c r="G12" s="22">
        <f t="shared" si="0"/>
        <v>23.297222222223354</v>
      </c>
      <c r="H12" s="28">
        <v>11195.5</v>
      </c>
      <c r="I12" s="9" t="s">
        <v>144</v>
      </c>
    </row>
    <row r="13" spans="1:14" x14ac:dyDescent="0.25">
      <c r="A13" s="11"/>
      <c r="B13" s="9" t="s">
        <v>50</v>
      </c>
      <c r="C13" s="8" t="s">
        <v>3</v>
      </c>
      <c r="D13" s="9"/>
      <c r="E13" s="21" t="s">
        <v>69</v>
      </c>
      <c r="F13" s="21"/>
      <c r="G13" s="22" t="s">
        <v>69</v>
      </c>
      <c r="H13" s="31"/>
      <c r="I13" s="9" t="s">
        <v>145</v>
      </c>
    </row>
    <row r="14" spans="1:14" x14ac:dyDescent="0.25">
      <c r="A14" s="11"/>
      <c r="B14" s="9" t="s">
        <v>51</v>
      </c>
      <c r="C14" s="8" t="s">
        <v>3</v>
      </c>
      <c r="D14" s="9" t="s">
        <v>3</v>
      </c>
      <c r="E14" s="21">
        <v>42598.65625</v>
      </c>
      <c r="F14" s="21">
        <v>42621.682638888888</v>
      </c>
      <c r="G14" s="22">
        <f t="shared" si="0"/>
        <v>23.026388888887595</v>
      </c>
      <c r="H14" s="28">
        <v>5556.5</v>
      </c>
      <c r="I14" s="9" t="s">
        <v>146</v>
      </c>
    </row>
    <row r="15" spans="1:14" x14ac:dyDescent="0.25">
      <c r="A15" s="11"/>
      <c r="B15" s="9" t="s">
        <v>52</v>
      </c>
      <c r="C15" s="9"/>
      <c r="D15" s="9"/>
      <c r="E15" s="21">
        <v>42598.828472222223</v>
      </c>
      <c r="F15" s="21">
        <v>42621.743750000001</v>
      </c>
      <c r="G15" s="22">
        <f t="shared" si="0"/>
        <v>22.915277777778101</v>
      </c>
      <c r="H15" s="31"/>
      <c r="I15" s="9" t="s">
        <v>147</v>
      </c>
    </row>
    <row r="16" spans="1:14" x14ac:dyDescent="0.25">
      <c r="A16" s="11"/>
      <c r="B16" s="9" t="s">
        <v>53</v>
      </c>
      <c r="C16" s="8">
        <v>42599</v>
      </c>
      <c r="D16" s="9" t="s">
        <v>43</v>
      </c>
      <c r="E16" s="21">
        <v>42599.30972222222</v>
      </c>
      <c r="F16" s="21">
        <v>42621.799305555556</v>
      </c>
      <c r="G16" s="22">
        <f t="shared" si="0"/>
        <v>22.489583333335759</v>
      </c>
      <c r="H16" s="28">
        <v>30750.333333333332</v>
      </c>
      <c r="I16" s="9" t="s">
        <v>148</v>
      </c>
    </row>
    <row r="17" spans="1:9" x14ac:dyDescent="0.25">
      <c r="A17" s="11"/>
      <c r="B17" s="9" t="s">
        <v>55</v>
      </c>
      <c r="C17" s="9"/>
      <c r="D17" s="9"/>
      <c r="E17" s="21">
        <v>42599.539583333331</v>
      </c>
      <c r="F17" s="21">
        <v>42621.881249999999</v>
      </c>
      <c r="G17" s="22">
        <f t="shared" si="0"/>
        <v>22.341666666667152</v>
      </c>
      <c r="I17" s="9" t="s">
        <v>149</v>
      </c>
    </row>
    <row r="18" spans="1:9" x14ac:dyDescent="0.25">
      <c r="A18" s="11"/>
      <c r="B18" s="9" t="s">
        <v>56</v>
      </c>
      <c r="C18" s="8" t="s">
        <v>3</v>
      </c>
      <c r="D18" s="9" t="s">
        <v>3</v>
      </c>
      <c r="E18" s="21">
        <v>42599.709722222222</v>
      </c>
      <c r="F18" s="21">
        <v>42621.963194444441</v>
      </c>
      <c r="G18" s="22">
        <f t="shared" si="0"/>
        <v>22.253472222218988</v>
      </c>
      <c r="I18" s="9" t="s">
        <v>150</v>
      </c>
    </row>
    <row r="19" spans="1:9" x14ac:dyDescent="0.25">
      <c r="A19" s="11"/>
      <c r="B19" s="9" t="s">
        <v>54</v>
      </c>
      <c r="C19" s="9"/>
      <c r="D19" s="9"/>
      <c r="E19" s="21">
        <v>42599.879861111112</v>
      </c>
      <c r="F19" s="21">
        <v>42622.051388888889</v>
      </c>
      <c r="G19" s="22">
        <f t="shared" si="0"/>
        <v>22.171527777776646</v>
      </c>
      <c r="I19" s="9" t="s">
        <v>151</v>
      </c>
    </row>
    <row r="20" spans="1:9" x14ac:dyDescent="0.25">
      <c r="A20" s="11"/>
      <c r="B20" s="9" t="s">
        <v>42</v>
      </c>
      <c r="C20" s="8">
        <v>42600</v>
      </c>
      <c r="D20" s="9" t="s">
        <v>45</v>
      </c>
      <c r="E20" s="21">
        <v>42600.316666666666</v>
      </c>
      <c r="F20" s="21">
        <v>42622.133333333331</v>
      </c>
      <c r="G20" s="22">
        <f t="shared" si="0"/>
        <v>21.816666666665697</v>
      </c>
      <c r="I20" s="9" t="s">
        <v>152</v>
      </c>
    </row>
    <row r="21" spans="1:9" x14ac:dyDescent="0.25">
      <c r="A21" s="11"/>
      <c r="B21" s="9" t="s">
        <v>44</v>
      </c>
      <c r="C21" s="8" t="s">
        <v>3</v>
      </c>
      <c r="D21" s="9" t="s">
        <v>3</v>
      </c>
      <c r="E21" s="21">
        <v>42600.836805555555</v>
      </c>
      <c r="F21" s="21">
        <v>42628.597916666666</v>
      </c>
      <c r="G21" s="22">
        <f t="shared" si="0"/>
        <v>27.761111111110949</v>
      </c>
      <c r="I21" s="9" t="s">
        <v>153</v>
      </c>
    </row>
    <row r="22" spans="1:9" ht="14.25" customHeight="1" x14ac:dyDescent="0.25">
      <c r="A22" s="11"/>
      <c r="B22" s="9" t="s">
        <v>58</v>
      </c>
      <c r="C22" s="8">
        <v>42601</v>
      </c>
      <c r="D22" s="9" t="s">
        <v>35</v>
      </c>
      <c r="E22" s="21">
        <v>42601.304861111108</v>
      </c>
      <c r="F22" s="21">
        <v>42628.65625</v>
      </c>
      <c r="G22" s="22">
        <f t="shared" si="0"/>
        <v>27.351388888891961</v>
      </c>
      <c r="I22" s="9" t="s">
        <v>154</v>
      </c>
    </row>
    <row r="23" spans="1:9" x14ac:dyDescent="0.25">
      <c r="A23" s="11"/>
      <c r="B23" s="9" t="s">
        <v>59</v>
      </c>
      <c r="C23" s="8">
        <v>42606</v>
      </c>
      <c r="D23" s="9" t="s">
        <v>3</v>
      </c>
      <c r="E23" s="21">
        <v>42601.816666666666</v>
      </c>
      <c r="F23" s="21">
        <v>42628.712500000001</v>
      </c>
      <c r="G23" s="22">
        <f t="shared" si="0"/>
        <v>26.895833333335759</v>
      </c>
      <c r="I23" s="9" t="s">
        <v>155</v>
      </c>
    </row>
    <row r="24" spans="1:9" x14ac:dyDescent="0.25">
      <c r="A24" s="11"/>
      <c r="B24" s="9" t="s">
        <v>66</v>
      </c>
      <c r="C24" s="8">
        <v>42606</v>
      </c>
      <c r="D24" s="9" t="s">
        <v>43</v>
      </c>
      <c r="E24" s="21">
        <v>42606.779166666667</v>
      </c>
      <c r="F24" s="21">
        <v>42632.603472222225</v>
      </c>
      <c r="G24" s="22">
        <f t="shared" si="0"/>
        <v>25.824305555557657</v>
      </c>
      <c r="I24" s="9" t="s">
        <v>178</v>
      </c>
    </row>
    <row r="25" spans="1:9" x14ac:dyDescent="0.25">
      <c r="A25" s="12"/>
      <c r="B25" s="7" t="s">
        <v>72</v>
      </c>
      <c r="C25" s="23">
        <v>42627</v>
      </c>
      <c r="D25" s="7" t="s">
        <v>43</v>
      </c>
      <c r="E25" s="24">
        <v>42627.321527777778</v>
      </c>
      <c r="F25" s="24">
        <v>42686.002083333333</v>
      </c>
      <c r="G25" s="25">
        <f t="shared" si="0"/>
        <v>58.680555555554747</v>
      </c>
      <c r="H25" s="12"/>
      <c r="I25" s="7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H1" sqref="H1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6.28515625" customWidth="1"/>
    <col min="9" max="9" width="19.7109375" customWidth="1"/>
  </cols>
  <sheetData>
    <row r="1" spans="1:10" x14ac:dyDescent="0.25">
      <c r="A1" t="s">
        <v>46</v>
      </c>
      <c r="B1" s="10">
        <v>42591</v>
      </c>
      <c r="C1" s="10" t="s">
        <v>3</v>
      </c>
    </row>
    <row r="3" spans="1:10" s="15" customFormat="1" ht="48.75" customHeight="1" x14ac:dyDescent="0.25">
      <c r="A3" s="13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6" t="s">
        <v>219</v>
      </c>
      <c r="I3" s="26" t="s">
        <v>79</v>
      </c>
    </row>
    <row r="4" spans="1:10" x14ac:dyDescent="0.25">
      <c r="A4" s="16"/>
      <c r="B4" s="11"/>
      <c r="C4" s="11"/>
      <c r="D4" s="11"/>
      <c r="E4" s="11"/>
      <c r="F4" s="11"/>
      <c r="G4" s="11"/>
      <c r="H4" s="11"/>
      <c r="I4" s="9"/>
    </row>
    <row r="5" spans="1:10" x14ac:dyDescent="0.25">
      <c r="A5" s="17"/>
      <c r="B5" s="12"/>
      <c r="C5" s="12"/>
      <c r="D5" s="12"/>
      <c r="E5" s="12" t="s">
        <v>3</v>
      </c>
      <c r="F5" s="12" t="s">
        <v>3</v>
      </c>
      <c r="G5" s="12"/>
      <c r="H5" s="7"/>
      <c r="I5" s="7"/>
    </row>
    <row r="6" spans="1:10" x14ac:dyDescent="0.25">
      <c r="A6" s="6" t="s">
        <v>63</v>
      </c>
      <c r="B6" s="9" t="s">
        <v>31</v>
      </c>
      <c r="C6" s="18">
        <v>42591</v>
      </c>
      <c r="D6" s="6" t="s">
        <v>41</v>
      </c>
      <c r="E6" s="19">
        <v>42591.370833333334</v>
      </c>
      <c r="F6" s="19">
        <v>42613.583333333336</v>
      </c>
      <c r="G6" s="20">
        <f>F6-E6</f>
        <v>22.212500000001455</v>
      </c>
      <c r="H6" s="28" t="s">
        <v>78</v>
      </c>
      <c r="I6" s="9" t="s">
        <v>157</v>
      </c>
      <c r="J6" t="s">
        <v>3</v>
      </c>
    </row>
    <row r="7" spans="1:10" x14ac:dyDescent="0.25">
      <c r="A7" s="9"/>
      <c r="B7" s="9" t="s">
        <v>34</v>
      </c>
      <c r="C7" s="8">
        <v>42595</v>
      </c>
      <c r="D7" s="9" t="s">
        <v>37</v>
      </c>
      <c r="E7" s="21">
        <v>42595.313194444447</v>
      </c>
      <c r="F7" s="21">
        <v>42613.640277777777</v>
      </c>
      <c r="G7" s="22">
        <f t="shared" ref="G7:G24" si="0">F7-E7</f>
        <v>18.327083333329938</v>
      </c>
      <c r="H7" s="28">
        <v>81</v>
      </c>
      <c r="I7" s="9" t="s">
        <v>158</v>
      </c>
    </row>
    <row r="8" spans="1:10" x14ac:dyDescent="0.25">
      <c r="A8" s="9"/>
      <c r="B8" s="9" t="s">
        <v>36</v>
      </c>
      <c r="C8" s="8">
        <v>42504</v>
      </c>
      <c r="D8" s="9" t="s">
        <v>39</v>
      </c>
      <c r="E8" s="21">
        <v>42596.3125</v>
      </c>
      <c r="F8" s="21">
        <v>42613.698611111111</v>
      </c>
      <c r="G8" s="22">
        <f t="shared" si="0"/>
        <v>17.386111111110949</v>
      </c>
      <c r="H8" s="28">
        <v>1605.5</v>
      </c>
      <c r="I8" s="9" t="s">
        <v>159</v>
      </c>
    </row>
    <row r="9" spans="1:10" x14ac:dyDescent="0.25">
      <c r="A9" s="9"/>
      <c r="B9" s="9" t="s">
        <v>48</v>
      </c>
      <c r="C9" s="8" t="s">
        <v>3</v>
      </c>
      <c r="D9" s="9" t="s">
        <v>3</v>
      </c>
      <c r="E9" s="21">
        <v>42596.80972222222</v>
      </c>
      <c r="F9" s="21">
        <v>42613.756249999999</v>
      </c>
      <c r="G9" s="22">
        <f t="shared" si="0"/>
        <v>16.946527777778101</v>
      </c>
      <c r="H9" s="28">
        <v>466.5</v>
      </c>
      <c r="I9" s="9" t="s">
        <v>160</v>
      </c>
    </row>
    <row r="10" spans="1:10" x14ac:dyDescent="0.25">
      <c r="A10" s="9"/>
      <c r="B10" s="9" t="s">
        <v>38</v>
      </c>
      <c r="C10" s="8">
        <v>42597</v>
      </c>
      <c r="D10" s="9" t="s">
        <v>32</v>
      </c>
      <c r="E10" s="21">
        <v>42597.322222222225</v>
      </c>
      <c r="F10" s="21">
        <v>42613.813888888886</v>
      </c>
      <c r="G10" s="22">
        <f t="shared" si="0"/>
        <v>16.491666666661331</v>
      </c>
      <c r="H10" s="28">
        <v>2230.5</v>
      </c>
      <c r="I10" s="9" t="s">
        <v>161</v>
      </c>
    </row>
    <row r="11" spans="1:10" x14ac:dyDescent="0.25">
      <c r="A11" s="9"/>
      <c r="B11" s="9" t="s">
        <v>49</v>
      </c>
      <c r="C11" s="8" t="s">
        <v>3</v>
      </c>
      <c r="D11" s="9" t="s">
        <v>3</v>
      </c>
      <c r="E11" s="21">
        <v>42597.814583333333</v>
      </c>
      <c r="F11" s="21">
        <v>42622.563194444447</v>
      </c>
      <c r="G11" s="22">
        <f t="shared" si="0"/>
        <v>24.74861111111386</v>
      </c>
      <c r="H11" s="28">
        <v>9057</v>
      </c>
      <c r="I11" s="9" t="s">
        <v>162</v>
      </c>
    </row>
    <row r="12" spans="1:10" x14ac:dyDescent="0.25">
      <c r="A12" s="11"/>
      <c r="B12" s="9" t="s">
        <v>40</v>
      </c>
      <c r="C12" s="8">
        <v>42598</v>
      </c>
      <c r="D12" s="9" t="s">
        <v>57</v>
      </c>
      <c r="E12" s="21">
        <v>42598.316666666666</v>
      </c>
      <c r="F12" s="21">
        <v>42622.622916666667</v>
      </c>
      <c r="G12" s="22">
        <f t="shared" si="0"/>
        <v>24.306250000001455</v>
      </c>
      <c r="H12" s="28">
        <v>16397.5</v>
      </c>
      <c r="I12" s="9" t="s">
        <v>163</v>
      </c>
    </row>
    <row r="13" spans="1:10" x14ac:dyDescent="0.25">
      <c r="A13" s="11"/>
      <c r="B13" s="9" t="s">
        <v>50</v>
      </c>
      <c r="C13" s="8" t="s">
        <v>3</v>
      </c>
      <c r="D13" s="9"/>
      <c r="E13" s="21">
        <v>42598.48541666667</v>
      </c>
      <c r="F13" s="21">
        <v>42622.681944444441</v>
      </c>
      <c r="G13" s="22">
        <f t="shared" si="0"/>
        <v>24.196527777770825</v>
      </c>
      <c r="H13" s="31"/>
      <c r="I13" s="9" t="s">
        <v>164</v>
      </c>
    </row>
    <row r="14" spans="1:10" x14ac:dyDescent="0.25">
      <c r="A14" s="11"/>
      <c r="B14" s="9" t="s">
        <v>51</v>
      </c>
      <c r="C14" s="8" t="s">
        <v>3</v>
      </c>
      <c r="D14" s="9" t="s">
        <v>3</v>
      </c>
      <c r="E14" s="21">
        <v>42598.646527777775</v>
      </c>
      <c r="F14" s="21">
        <v>42622.740972222222</v>
      </c>
      <c r="G14" s="22">
        <f t="shared" si="0"/>
        <v>24.094444444446708</v>
      </c>
      <c r="H14" s="28">
        <v>11517</v>
      </c>
      <c r="I14" s="9" t="s">
        <v>165</v>
      </c>
    </row>
    <row r="15" spans="1:10" x14ac:dyDescent="0.25">
      <c r="A15" s="11"/>
      <c r="B15" s="9" t="s">
        <v>52</v>
      </c>
      <c r="C15" s="9"/>
      <c r="D15" s="9"/>
      <c r="E15" s="21">
        <v>42598.822222222225</v>
      </c>
      <c r="F15" s="21">
        <v>42622.798611111109</v>
      </c>
      <c r="G15" s="22">
        <f t="shared" si="0"/>
        <v>23.976388888884685</v>
      </c>
      <c r="H15" s="31"/>
      <c r="I15" s="9" t="s">
        <v>166</v>
      </c>
    </row>
    <row r="16" spans="1:10" x14ac:dyDescent="0.25">
      <c r="A16" s="11"/>
      <c r="B16" s="9" t="s">
        <v>53</v>
      </c>
      <c r="C16" s="8">
        <v>42599</v>
      </c>
      <c r="D16" s="9" t="s">
        <v>43</v>
      </c>
      <c r="E16" s="21">
        <v>42599.3</v>
      </c>
      <c r="F16" s="21">
        <v>42622.865277777775</v>
      </c>
      <c r="G16" s="22">
        <f t="shared" si="0"/>
        <v>23.56527777777228</v>
      </c>
      <c r="H16" s="28">
        <v>58760.666666666664</v>
      </c>
      <c r="I16" s="9" t="s">
        <v>167</v>
      </c>
    </row>
    <row r="17" spans="1:9" x14ac:dyDescent="0.25">
      <c r="A17" s="11"/>
      <c r="B17" s="9" t="s">
        <v>55</v>
      </c>
      <c r="C17" s="9"/>
      <c r="D17" s="9"/>
      <c r="E17" s="21">
        <v>42599.550694444442</v>
      </c>
      <c r="F17" s="21">
        <v>42622.941666666666</v>
      </c>
      <c r="G17" s="22">
        <f t="shared" si="0"/>
        <v>23.390972222223354</v>
      </c>
      <c r="I17" s="9" t="s">
        <v>168</v>
      </c>
    </row>
    <row r="18" spans="1:9" x14ac:dyDescent="0.25">
      <c r="A18" s="11"/>
      <c r="B18" s="9" t="s">
        <v>56</v>
      </c>
      <c r="C18" s="8" t="s">
        <v>3</v>
      </c>
      <c r="D18" s="9" t="s">
        <v>3</v>
      </c>
      <c r="E18" s="21">
        <v>42599.714583333334</v>
      </c>
      <c r="F18" s="21">
        <v>42623.021527777775</v>
      </c>
      <c r="G18" s="22">
        <f t="shared" si="0"/>
        <v>23.306944444440887</v>
      </c>
      <c r="I18" s="9" t="s">
        <v>169</v>
      </c>
    </row>
    <row r="19" spans="1:9" x14ac:dyDescent="0.25">
      <c r="A19" s="11"/>
      <c r="B19" s="9" t="s">
        <v>54</v>
      </c>
      <c r="C19" s="9"/>
      <c r="D19" s="9"/>
      <c r="E19" s="21">
        <v>42599.886111111111</v>
      </c>
      <c r="F19" s="21">
        <v>42623.111805555556</v>
      </c>
      <c r="G19" s="22">
        <f t="shared" si="0"/>
        <v>23.225694444445253</v>
      </c>
      <c r="I19" s="9" t="s">
        <v>170</v>
      </c>
    </row>
    <row r="20" spans="1:9" x14ac:dyDescent="0.25">
      <c r="A20" s="11"/>
      <c r="B20" s="9" t="s">
        <v>42</v>
      </c>
      <c r="C20" s="8">
        <v>42600</v>
      </c>
      <c r="D20" s="9" t="s">
        <v>45</v>
      </c>
      <c r="E20" s="21">
        <v>42600.320833333331</v>
      </c>
      <c r="F20" s="21">
        <v>42623.161805555559</v>
      </c>
      <c r="G20" s="22">
        <f t="shared" si="0"/>
        <v>22.84097222222772</v>
      </c>
      <c r="I20" s="9" t="s">
        <v>171</v>
      </c>
    </row>
    <row r="21" spans="1:9" x14ac:dyDescent="0.25">
      <c r="A21" s="11"/>
      <c r="B21" s="9" t="s">
        <v>44</v>
      </c>
      <c r="C21" s="8" t="s">
        <v>3</v>
      </c>
      <c r="D21" s="9" t="s">
        <v>3</v>
      </c>
      <c r="E21" s="21">
        <v>42600.84652777778</v>
      </c>
      <c r="F21" s="21">
        <v>42629.591666666667</v>
      </c>
      <c r="G21" s="22">
        <f t="shared" si="0"/>
        <v>28.745138888887595</v>
      </c>
      <c r="I21" s="9" t="s">
        <v>172</v>
      </c>
    </row>
    <row r="22" spans="1:9" x14ac:dyDescent="0.25">
      <c r="A22" s="11"/>
      <c r="B22" s="9" t="s">
        <v>58</v>
      </c>
      <c r="C22" s="8">
        <v>42601</v>
      </c>
      <c r="D22" s="9" t="s">
        <v>35</v>
      </c>
      <c r="E22" s="21">
        <v>42601.308333333334</v>
      </c>
      <c r="F22" s="21">
        <v>42629.651388888888</v>
      </c>
      <c r="G22" s="22">
        <f t="shared" si="0"/>
        <v>28.343055555553292</v>
      </c>
      <c r="I22" s="9" t="s">
        <v>173</v>
      </c>
    </row>
    <row r="23" spans="1:9" x14ac:dyDescent="0.25">
      <c r="A23" s="11"/>
      <c r="B23" s="9" t="s">
        <v>59</v>
      </c>
      <c r="C23" s="8" t="s">
        <v>3</v>
      </c>
      <c r="D23" s="9" t="s">
        <v>3</v>
      </c>
      <c r="E23" s="21">
        <v>42601.820833333331</v>
      </c>
      <c r="F23" s="21">
        <v>42629.707638888889</v>
      </c>
      <c r="G23" s="22">
        <f t="shared" si="0"/>
        <v>27.886805555557657</v>
      </c>
      <c r="I23" s="9" t="s">
        <v>174</v>
      </c>
    </row>
    <row r="24" spans="1:9" x14ac:dyDescent="0.25">
      <c r="A24" s="12"/>
      <c r="B24" s="7" t="s">
        <v>72</v>
      </c>
      <c r="C24" s="23">
        <v>42627</v>
      </c>
      <c r="D24" s="7" t="s">
        <v>43</v>
      </c>
      <c r="E24" s="24">
        <v>42627.321527777778</v>
      </c>
      <c r="F24" s="24">
        <v>42686.054166666669</v>
      </c>
      <c r="G24" s="25">
        <f t="shared" si="0"/>
        <v>58.732638888890506</v>
      </c>
      <c r="H24" s="12"/>
      <c r="I24" s="7" t="s">
        <v>175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H1" sqref="H1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9.28515625" customWidth="1"/>
    <col min="9" max="9" width="23.28515625" customWidth="1"/>
  </cols>
  <sheetData>
    <row r="1" spans="1:9" x14ac:dyDescent="0.25">
      <c r="A1" t="s">
        <v>46</v>
      </c>
      <c r="B1" s="10">
        <v>42591</v>
      </c>
      <c r="C1" s="10" t="s">
        <v>3</v>
      </c>
    </row>
    <row r="3" spans="1:9" s="15" customFormat="1" ht="48.75" customHeight="1" x14ac:dyDescent="0.25">
      <c r="A3" s="13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6" t="s">
        <v>219</v>
      </c>
      <c r="I3" s="26" t="s">
        <v>79</v>
      </c>
    </row>
    <row r="4" spans="1:9" x14ac:dyDescent="0.25">
      <c r="A4" s="16"/>
      <c r="B4" s="11"/>
      <c r="C4" s="11"/>
      <c r="D4" s="11"/>
      <c r="E4" s="11"/>
      <c r="F4" s="11"/>
      <c r="G4" s="11"/>
      <c r="H4" s="11"/>
      <c r="I4" s="9"/>
    </row>
    <row r="5" spans="1:9" x14ac:dyDescent="0.25">
      <c r="A5" s="17"/>
      <c r="B5" s="12"/>
      <c r="C5" s="12"/>
      <c r="D5" s="12"/>
      <c r="E5" s="12" t="s">
        <v>3</v>
      </c>
      <c r="F5" s="12" t="s">
        <v>3</v>
      </c>
      <c r="G5" s="12"/>
      <c r="H5" s="7"/>
      <c r="I5" s="7"/>
    </row>
    <row r="6" spans="1:9" x14ac:dyDescent="0.25">
      <c r="A6" s="6" t="s">
        <v>64</v>
      </c>
      <c r="B6" s="9" t="s">
        <v>31</v>
      </c>
      <c r="C6" s="18">
        <v>42591</v>
      </c>
      <c r="D6" s="6" t="s">
        <v>41</v>
      </c>
      <c r="E6" s="19">
        <v>42591.375</v>
      </c>
      <c r="F6" s="19">
        <v>42613.868055555555</v>
      </c>
      <c r="G6" s="20">
        <f>F6-E6</f>
        <v>22.493055555554747</v>
      </c>
      <c r="H6" s="28" t="s">
        <v>78</v>
      </c>
      <c r="I6" s="9" t="s">
        <v>179</v>
      </c>
    </row>
    <row r="7" spans="1:9" x14ac:dyDescent="0.25">
      <c r="A7" s="9"/>
      <c r="B7" s="9" t="s">
        <v>34</v>
      </c>
      <c r="C7" s="8">
        <v>42595</v>
      </c>
      <c r="D7" s="9" t="s">
        <v>37</v>
      </c>
      <c r="E7" s="21">
        <v>42595.388888888891</v>
      </c>
      <c r="F7" s="21">
        <v>42613.923611111109</v>
      </c>
      <c r="G7" s="22">
        <f t="shared" ref="G7:G25" si="0">F7-E7</f>
        <v>18.534722222218988</v>
      </c>
      <c r="H7" s="28">
        <v>56</v>
      </c>
      <c r="I7" s="9" t="s">
        <v>180</v>
      </c>
    </row>
    <row r="8" spans="1:9" x14ac:dyDescent="0.25">
      <c r="A8" s="9"/>
      <c r="B8" s="9" t="s">
        <v>36</v>
      </c>
      <c r="C8" s="8">
        <v>42504</v>
      </c>
      <c r="D8" s="9" t="s">
        <v>39</v>
      </c>
      <c r="E8" s="21">
        <v>42596.356249999997</v>
      </c>
      <c r="F8" s="21">
        <v>42613.979861111111</v>
      </c>
      <c r="G8" s="22">
        <f t="shared" si="0"/>
        <v>17.62361111111386</v>
      </c>
      <c r="H8" s="28">
        <v>1080</v>
      </c>
      <c r="I8" s="9" t="s">
        <v>181</v>
      </c>
    </row>
    <row r="9" spans="1:9" x14ac:dyDescent="0.25">
      <c r="A9" s="9"/>
      <c r="B9" s="9" t="s">
        <v>48</v>
      </c>
      <c r="C9" s="8" t="s">
        <v>3</v>
      </c>
      <c r="D9" s="9" t="s">
        <v>3</v>
      </c>
      <c r="E9" s="21">
        <v>42596.866666666669</v>
      </c>
      <c r="F9" s="21">
        <v>42614.03402777778</v>
      </c>
      <c r="G9" s="22">
        <f t="shared" si="0"/>
        <v>17.167361111110949</v>
      </c>
      <c r="H9" s="28">
        <v>328</v>
      </c>
      <c r="I9" s="9" t="s">
        <v>182</v>
      </c>
    </row>
    <row r="10" spans="1:9" x14ac:dyDescent="0.25">
      <c r="A10" s="9"/>
      <c r="B10" s="9" t="s">
        <v>38</v>
      </c>
      <c r="C10" s="8">
        <v>42597</v>
      </c>
      <c r="D10" s="9" t="s">
        <v>32</v>
      </c>
      <c r="E10" s="21">
        <v>42597.363888888889</v>
      </c>
      <c r="F10" s="21">
        <v>42614.090277777781</v>
      </c>
      <c r="G10" s="22">
        <f t="shared" si="0"/>
        <v>16.726388888891961</v>
      </c>
      <c r="H10" s="28">
        <v>1717.5</v>
      </c>
      <c r="I10" s="9" t="s">
        <v>183</v>
      </c>
    </row>
    <row r="11" spans="1:9" x14ac:dyDescent="0.25">
      <c r="A11" s="9"/>
      <c r="B11" s="9" t="s">
        <v>49</v>
      </c>
      <c r="C11" s="8" t="s">
        <v>3</v>
      </c>
      <c r="D11" s="9" t="s">
        <v>3</v>
      </c>
      <c r="E11" s="21">
        <v>42597.867361111108</v>
      </c>
      <c r="F11" s="21">
        <v>42626.563194444447</v>
      </c>
      <c r="G11" s="22">
        <f t="shared" si="0"/>
        <v>28.695833333338669</v>
      </c>
      <c r="H11" s="28">
        <v>9902.5</v>
      </c>
      <c r="I11" s="9" t="s">
        <v>184</v>
      </c>
    </row>
    <row r="12" spans="1:9" x14ac:dyDescent="0.25">
      <c r="A12" s="11"/>
      <c r="B12" s="9" t="s">
        <v>40</v>
      </c>
      <c r="C12" s="8">
        <v>42598</v>
      </c>
      <c r="D12" s="9" t="s">
        <v>57</v>
      </c>
      <c r="E12" s="21">
        <v>42598.368750000001</v>
      </c>
      <c r="F12" s="21">
        <v>42626.620833333334</v>
      </c>
      <c r="G12" s="22">
        <f t="shared" si="0"/>
        <v>28.252083333332848</v>
      </c>
      <c r="H12" s="28">
        <v>26227.5</v>
      </c>
      <c r="I12" s="9" t="s">
        <v>185</v>
      </c>
    </row>
    <row r="13" spans="1:9" x14ac:dyDescent="0.25">
      <c r="A13" s="11"/>
      <c r="B13" s="9" t="s">
        <v>50</v>
      </c>
      <c r="C13" s="8" t="s">
        <v>3</v>
      </c>
      <c r="D13" s="9"/>
      <c r="E13" s="21">
        <v>42598.534722222219</v>
      </c>
      <c r="F13" s="21">
        <v>42626.677083333336</v>
      </c>
      <c r="G13" s="22">
        <f t="shared" si="0"/>
        <v>28.14236111111677</v>
      </c>
      <c r="H13" s="31"/>
      <c r="I13" s="9" t="s">
        <v>186</v>
      </c>
    </row>
    <row r="14" spans="1:9" x14ac:dyDescent="0.25">
      <c r="A14" s="11"/>
      <c r="B14" s="9" t="s">
        <v>51</v>
      </c>
      <c r="C14" s="8" t="s">
        <v>3</v>
      </c>
      <c r="D14" s="9" t="s">
        <v>3</v>
      </c>
      <c r="E14" s="21">
        <v>42598.702777777777</v>
      </c>
      <c r="F14" s="21">
        <v>42626.73541666667</v>
      </c>
      <c r="G14" s="22">
        <f t="shared" si="0"/>
        <v>28.032638888893416</v>
      </c>
      <c r="H14" s="28">
        <v>10149.5</v>
      </c>
      <c r="I14" s="9" t="s">
        <v>187</v>
      </c>
    </row>
    <row r="15" spans="1:9" x14ac:dyDescent="0.25">
      <c r="A15" s="11"/>
      <c r="B15" s="9" t="s">
        <v>52</v>
      </c>
      <c r="C15" s="9"/>
      <c r="D15" s="9"/>
      <c r="E15" s="21">
        <v>42598.875694444447</v>
      </c>
      <c r="F15" s="21">
        <v>42626.79583333333</v>
      </c>
      <c r="G15" s="22">
        <f t="shared" si="0"/>
        <v>27.92013888888323</v>
      </c>
      <c r="H15" s="31"/>
      <c r="I15" s="9" t="s">
        <v>188</v>
      </c>
    </row>
    <row r="16" spans="1:9" x14ac:dyDescent="0.25">
      <c r="A16" s="11"/>
      <c r="B16" s="9" t="s">
        <v>53</v>
      </c>
      <c r="C16" s="8">
        <v>42599</v>
      </c>
      <c r="D16" s="9" t="s">
        <v>43</v>
      </c>
      <c r="E16" s="21">
        <v>42599.32708333333</v>
      </c>
      <c r="F16" s="21">
        <v>42626.863194444442</v>
      </c>
      <c r="G16" s="22">
        <f t="shared" si="0"/>
        <v>27.536111111112405</v>
      </c>
      <c r="H16" s="28">
        <v>66574.333333333328</v>
      </c>
      <c r="I16" s="9" t="s">
        <v>189</v>
      </c>
    </row>
    <row r="17" spans="1:9" x14ac:dyDescent="0.25">
      <c r="A17" s="11"/>
      <c r="B17" s="9" t="s">
        <v>55</v>
      </c>
      <c r="C17" s="9"/>
      <c r="D17" s="9"/>
      <c r="E17" s="21">
        <v>42599.556250000001</v>
      </c>
      <c r="F17" s="21">
        <v>42626.929166666669</v>
      </c>
      <c r="G17" s="22">
        <f t="shared" si="0"/>
        <v>27.372916666667152</v>
      </c>
      <c r="I17" s="9" t="s">
        <v>190</v>
      </c>
    </row>
    <row r="18" spans="1:9" x14ac:dyDescent="0.25">
      <c r="A18" s="11"/>
      <c r="B18" s="9" t="s">
        <v>56</v>
      </c>
      <c r="C18" s="8" t="s">
        <v>3</v>
      </c>
      <c r="D18" s="9" t="s">
        <v>3</v>
      </c>
      <c r="E18" s="21">
        <v>42599.720138888886</v>
      </c>
      <c r="F18" s="21">
        <v>42626.997916666667</v>
      </c>
      <c r="G18" s="22">
        <f t="shared" si="0"/>
        <v>27.277777777781012</v>
      </c>
      <c r="I18" s="9" t="s">
        <v>191</v>
      </c>
    </row>
    <row r="19" spans="1:9" x14ac:dyDescent="0.25">
      <c r="A19" s="11"/>
      <c r="B19" s="9" t="s">
        <v>54</v>
      </c>
      <c r="C19" s="9"/>
      <c r="D19" s="9"/>
      <c r="E19" s="21">
        <v>42599.89166666667</v>
      </c>
      <c r="F19" s="21">
        <v>42627.0625</v>
      </c>
      <c r="G19" s="22">
        <f t="shared" si="0"/>
        <v>27.170833333329938</v>
      </c>
      <c r="I19" s="9" t="s">
        <v>192</v>
      </c>
    </row>
    <row r="20" spans="1:9" x14ac:dyDescent="0.25">
      <c r="A20" s="11"/>
      <c r="B20" s="9" t="s">
        <v>42</v>
      </c>
      <c r="C20" s="8">
        <v>42600</v>
      </c>
      <c r="D20" s="9" t="s">
        <v>45</v>
      </c>
      <c r="E20" s="21">
        <v>42600.325694444444</v>
      </c>
      <c r="F20" s="21">
        <v>42627.12777777778</v>
      </c>
      <c r="G20" s="22">
        <f t="shared" si="0"/>
        <v>26.802083333335759</v>
      </c>
      <c r="I20" s="9" t="s">
        <v>193</v>
      </c>
    </row>
    <row r="21" spans="1:9" x14ac:dyDescent="0.25">
      <c r="A21" s="11"/>
      <c r="B21" s="9" t="s">
        <v>44</v>
      </c>
      <c r="C21" s="8" t="s">
        <v>3</v>
      </c>
      <c r="D21" s="9" t="s">
        <v>3</v>
      </c>
      <c r="E21" s="21">
        <v>42600.853472222225</v>
      </c>
      <c r="F21" s="21">
        <v>42629.76458333333</v>
      </c>
      <c r="G21" s="22">
        <f t="shared" si="0"/>
        <v>28.911111111105129</v>
      </c>
      <c r="I21" s="9" t="s">
        <v>194</v>
      </c>
    </row>
    <row r="22" spans="1:9" x14ac:dyDescent="0.25">
      <c r="A22" s="11"/>
      <c r="B22" s="9" t="s">
        <v>58</v>
      </c>
      <c r="C22" s="8">
        <v>42601</v>
      </c>
      <c r="D22" s="9" t="s">
        <v>35</v>
      </c>
      <c r="E22" s="21">
        <v>42601.313194444447</v>
      </c>
      <c r="F22" s="21">
        <v>42629.831250000003</v>
      </c>
      <c r="G22" s="22">
        <f t="shared" si="0"/>
        <v>28.518055555556202</v>
      </c>
      <c r="I22" s="9" t="s">
        <v>195</v>
      </c>
    </row>
    <row r="23" spans="1:9" x14ac:dyDescent="0.25">
      <c r="A23" s="11"/>
      <c r="B23" s="9" t="s">
        <v>59</v>
      </c>
      <c r="C23" s="8" t="s">
        <v>3</v>
      </c>
      <c r="D23" s="9" t="s">
        <v>3</v>
      </c>
      <c r="E23" s="21">
        <v>42601.825694444444</v>
      </c>
      <c r="F23" s="21">
        <v>42629.917361111111</v>
      </c>
      <c r="G23" s="22">
        <f t="shared" si="0"/>
        <v>28.091666666667152</v>
      </c>
      <c r="I23" s="9" t="s">
        <v>196</v>
      </c>
    </row>
    <row r="24" spans="1:9" x14ac:dyDescent="0.25">
      <c r="A24" s="11"/>
      <c r="B24" s="9" t="s">
        <v>68</v>
      </c>
      <c r="C24" s="8">
        <v>42609</v>
      </c>
      <c r="D24" s="9" t="s">
        <v>37</v>
      </c>
      <c r="E24" s="21">
        <v>42609.398611111108</v>
      </c>
      <c r="F24" s="21">
        <v>42632.72152777778</v>
      </c>
      <c r="G24" s="22">
        <f t="shared" si="0"/>
        <v>23.322916666671517</v>
      </c>
      <c r="I24" s="9" t="s">
        <v>198</v>
      </c>
    </row>
    <row r="25" spans="1:9" x14ac:dyDescent="0.25">
      <c r="A25" s="12"/>
      <c r="B25" s="7" t="s">
        <v>72</v>
      </c>
      <c r="C25" s="23">
        <v>42627</v>
      </c>
      <c r="D25" s="7" t="s">
        <v>43</v>
      </c>
      <c r="E25" s="24">
        <v>42627.321527777778</v>
      </c>
      <c r="F25" s="24">
        <v>42686.107638888891</v>
      </c>
      <c r="G25" s="25">
        <f t="shared" si="0"/>
        <v>58.786111111112405</v>
      </c>
      <c r="H25" s="12"/>
      <c r="I25" s="7" t="s">
        <v>197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H1" sqref="H1"/>
    </sheetView>
  </sheetViews>
  <sheetFormatPr defaultRowHeight="15" x14ac:dyDescent="0.25"/>
  <cols>
    <col min="1" max="1" width="27.42578125" customWidth="1"/>
    <col min="2" max="2" width="14.42578125" customWidth="1"/>
    <col min="3" max="3" width="12.5703125" customWidth="1"/>
    <col min="4" max="4" width="17" customWidth="1"/>
    <col min="5" max="5" width="25.140625" customWidth="1"/>
    <col min="6" max="6" width="20.85546875" customWidth="1"/>
    <col min="7" max="7" width="24.42578125" customWidth="1"/>
    <col min="8" max="8" width="19.5703125" customWidth="1"/>
    <col min="9" max="9" width="25.85546875" customWidth="1"/>
  </cols>
  <sheetData>
    <row r="1" spans="1:14" x14ac:dyDescent="0.25">
      <c r="A1" t="s">
        <v>46</v>
      </c>
      <c r="B1" s="10">
        <v>42591</v>
      </c>
      <c r="C1" s="10" t="s">
        <v>3</v>
      </c>
    </row>
    <row r="3" spans="1:14" s="15" customFormat="1" ht="48.75" customHeight="1" x14ac:dyDescent="0.25">
      <c r="A3" s="13" t="s">
        <v>24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6" t="s">
        <v>219</v>
      </c>
      <c r="I3" s="26" t="s">
        <v>79</v>
      </c>
    </row>
    <row r="4" spans="1:14" x14ac:dyDescent="0.25">
      <c r="A4" s="16"/>
      <c r="B4" s="11"/>
      <c r="C4" s="11"/>
      <c r="D4" s="11"/>
      <c r="E4" s="11"/>
      <c r="F4" s="11"/>
      <c r="G4" s="11"/>
      <c r="H4" s="11"/>
      <c r="I4" s="9"/>
    </row>
    <row r="5" spans="1:14" x14ac:dyDescent="0.25">
      <c r="A5" s="17"/>
      <c r="B5" s="12"/>
      <c r="C5" s="12"/>
      <c r="D5" s="12"/>
      <c r="E5" s="12" t="s">
        <v>3</v>
      </c>
      <c r="F5" s="12" t="s">
        <v>3</v>
      </c>
      <c r="G5" s="12"/>
      <c r="H5" s="7"/>
      <c r="I5" s="7"/>
    </row>
    <row r="6" spans="1:14" x14ac:dyDescent="0.25">
      <c r="A6" s="6" t="s">
        <v>65</v>
      </c>
      <c r="B6" s="9" t="s">
        <v>31</v>
      </c>
      <c r="C6" s="18">
        <v>42591</v>
      </c>
      <c r="D6" s="6" t="s">
        <v>41</v>
      </c>
      <c r="E6" s="19">
        <v>42591.368055555555</v>
      </c>
      <c r="F6" s="19">
        <v>42614.5625</v>
      </c>
      <c r="G6" s="20">
        <f>F6-E6</f>
        <v>23.194444444445253</v>
      </c>
      <c r="H6" s="28" t="s">
        <v>78</v>
      </c>
      <c r="I6" s="9" t="s">
        <v>199</v>
      </c>
      <c r="J6" t="s">
        <v>3</v>
      </c>
      <c r="K6" t="s">
        <v>3</v>
      </c>
      <c r="L6" t="s">
        <v>3</v>
      </c>
      <c r="M6" t="s">
        <v>3</v>
      </c>
      <c r="N6" t="s">
        <v>3</v>
      </c>
    </row>
    <row r="7" spans="1:14" x14ac:dyDescent="0.25">
      <c r="A7" s="9"/>
      <c r="B7" s="9" t="s">
        <v>34</v>
      </c>
      <c r="C7" s="8">
        <v>42595</v>
      </c>
      <c r="D7" s="9" t="s">
        <v>37</v>
      </c>
      <c r="E7" s="21">
        <v>42595.361805555556</v>
      </c>
      <c r="F7" s="21">
        <v>42614.620833333334</v>
      </c>
      <c r="G7" s="22">
        <f t="shared" ref="G7:G25" si="0">F7-E7</f>
        <v>19.259027777778101</v>
      </c>
      <c r="H7" s="28">
        <v>39.5</v>
      </c>
      <c r="I7" s="9" t="s">
        <v>200</v>
      </c>
    </row>
    <row r="8" spans="1:14" x14ac:dyDescent="0.25">
      <c r="A8" s="9"/>
      <c r="B8" s="9" t="s">
        <v>36</v>
      </c>
      <c r="C8" s="8">
        <v>42504</v>
      </c>
      <c r="D8" s="9" t="s">
        <v>39</v>
      </c>
      <c r="E8" s="21">
        <v>42596.340277777781</v>
      </c>
      <c r="F8" s="21">
        <v>42614.677777777775</v>
      </c>
      <c r="G8" s="22">
        <f t="shared" si="0"/>
        <v>18.337499999994179</v>
      </c>
      <c r="H8" s="28">
        <v>766</v>
      </c>
      <c r="I8" s="9" t="s">
        <v>201</v>
      </c>
    </row>
    <row r="9" spans="1:14" x14ac:dyDescent="0.25">
      <c r="A9" s="9"/>
      <c r="B9" s="9" t="s">
        <v>48</v>
      </c>
      <c r="C9" s="8" t="s">
        <v>3</v>
      </c>
      <c r="D9" s="9" t="s">
        <v>3</v>
      </c>
      <c r="E9" s="21">
        <v>42596.816666666666</v>
      </c>
      <c r="F9" s="21">
        <v>42614.73541666667</v>
      </c>
      <c r="G9" s="22">
        <f t="shared" si="0"/>
        <v>17.918750000004366</v>
      </c>
      <c r="H9" s="28">
        <v>237</v>
      </c>
      <c r="I9" s="9" t="s">
        <v>202</v>
      </c>
    </row>
    <row r="10" spans="1:14" x14ac:dyDescent="0.25">
      <c r="A10" s="9"/>
      <c r="B10" s="9" t="s">
        <v>38</v>
      </c>
      <c r="C10" s="8">
        <v>42597</v>
      </c>
      <c r="D10" s="9" t="s">
        <v>32</v>
      </c>
      <c r="E10" s="21">
        <v>42597.34375</v>
      </c>
      <c r="F10" s="21">
        <v>42614.793055555558</v>
      </c>
      <c r="G10" s="22">
        <f t="shared" si="0"/>
        <v>17.449305555557657</v>
      </c>
      <c r="H10" s="28">
        <v>1261</v>
      </c>
      <c r="I10" s="9" t="s">
        <v>203</v>
      </c>
    </row>
    <row r="11" spans="1:14" x14ac:dyDescent="0.25">
      <c r="A11" s="9"/>
      <c r="B11" s="9" t="s">
        <v>49</v>
      </c>
      <c r="C11" s="8" t="s">
        <v>3</v>
      </c>
      <c r="D11" s="9" t="s">
        <v>3</v>
      </c>
      <c r="E11" s="21">
        <v>42597.819444444445</v>
      </c>
      <c r="F11" s="21">
        <v>42627.579861111109</v>
      </c>
      <c r="G11" s="22">
        <f t="shared" si="0"/>
        <v>29.760416666664241</v>
      </c>
      <c r="H11" s="28">
        <v>1716.5</v>
      </c>
      <c r="I11" s="9" t="s">
        <v>204</v>
      </c>
    </row>
    <row r="12" spans="1:14" x14ac:dyDescent="0.25">
      <c r="A12" s="11"/>
      <c r="B12" s="9" t="s">
        <v>40</v>
      </c>
      <c r="C12" s="8">
        <v>42598</v>
      </c>
      <c r="D12" s="9" t="s">
        <v>57</v>
      </c>
      <c r="E12" s="21">
        <v>42598.310416666667</v>
      </c>
      <c r="F12" s="21">
        <v>42627.640277777777</v>
      </c>
      <c r="G12" s="22">
        <f t="shared" si="0"/>
        <v>29.329861111109494</v>
      </c>
      <c r="H12" s="28">
        <v>7667.5</v>
      </c>
      <c r="I12" s="9" t="s">
        <v>205</v>
      </c>
    </row>
    <row r="13" spans="1:14" x14ac:dyDescent="0.25">
      <c r="A13" s="11"/>
      <c r="B13" s="9" t="s">
        <v>50</v>
      </c>
      <c r="C13" s="8" t="s">
        <v>3</v>
      </c>
      <c r="D13" s="9"/>
      <c r="E13" s="21">
        <v>42598.484027777777</v>
      </c>
      <c r="F13" s="21">
        <v>42627.698611111111</v>
      </c>
      <c r="G13" s="22">
        <f t="shared" si="0"/>
        <v>29.214583333334303</v>
      </c>
      <c r="H13" s="31"/>
      <c r="I13" s="9" t="s">
        <v>206</v>
      </c>
    </row>
    <row r="14" spans="1:14" x14ac:dyDescent="0.25">
      <c r="A14" s="11"/>
      <c r="B14" s="9" t="s">
        <v>51</v>
      </c>
      <c r="C14" s="8" t="s">
        <v>3</v>
      </c>
      <c r="D14" s="9" t="s">
        <v>3</v>
      </c>
      <c r="E14" s="21">
        <v>42598.650694444441</v>
      </c>
      <c r="F14" s="21">
        <v>42627.759027777778</v>
      </c>
      <c r="G14" s="22">
        <f t="shared" si="0"/>
        <v>29.108333333337214</v>
      </c>
      <c r="H14" s="28">
        <v>5883</v>
      </c>
      <c r="I14" s="9" t="s">
        <v>207</v>
      </c>
    </row>
    <row r="15" spans="1:14" x14ac:dyDescent="0.25">
      <c r="A15" s="11"/>
      <c r="B15" s="9" t="s">
        <v>52</v>
      </c>
      <c r="C15" s="9"/>
      <c r="D15" s="9"/>
      <c r="E15" s="21">
        <v>42598.814583333333</v>
      </c>
      <c r="F15" s="21">
        <v>42627.818749999999</v>
      </c>
      <c r="G15" s="22">
        <f t="shared" si="0"/>
        <v>29.004166666665697</v>
      </c>
      <c r="H15" s="31"/>
      <c r="I15" s="9" t="s">
        <v>208</v>
      </c>
    </row>
    <row r="16" spans="1:14" x14ac:dyDescent="0.25">
      <c r="A16" s="11"/>
      <c r="B16" s="9" t="s">
        <v>53</v>
      </c>
      <c r="C16" s="8">
        <v>42599</v>
      </c>
      <c r="D16" s="9" t="s">
        <v>43</v>
      </c>
      <c r="E16" s="21">
        <v>42599.320833333331</v>
      </c>
      <c r="F16" s="21">
        <v>42627.877083333333</v>
      </c>
      <c r="G16" s="22">
        <f t="shared" si="0"/>
        <v>28.556250000001455</v>
      </c>
      <c r="H16" s="28">
        <v>21860.333333333332</v>
      </c>
      <c r="I16" s="9" t="s">
        <v>209</v>
      </c>
    </row>
    <row r="17" spans="1:9" x14ac:dyDescent="0.25">
      <c r="A17" s="11"/>
      <c r="B17" s="9" t="s">
        <v>55</v>
      </c>
      <c r="C17" s="9"/>
      <c r="D17" s="9"/>
      <c r="E17" s="21">
        <v>42599.55972222222</v>
      </c>
      <c r="F17" s="21">
        <v>42627.936111111114</v>
      </c>
      <c r="G17" s="22">
        <f t="shared" si="0"/>
        <v>28.376388888893416</v>
      </c>
      <c r="I17" s="9" t="s">
        <v>210</v>
      </c>
    </row>
    <row r="18" spans="1:9" x14ac:dyDescent="0.25">
      <c r="A18" s="11"/>
      <c r="B18" s="9" t="s">
        <v>56</v>
      </c>
      <c r="C18" s="8" t="s">
        <v>3</v>
      </c>
      <c r="D18" s="9" t="s">
        <v>3</v>
      </c>
      <c r="E18" s="21">
        <v>42599.724999999999</v>
      </c>
      <c r="F18" s="21">
        <v>42627.994444444441</v>
      </c>
      <c r="G18" s="22">
        <f t="shared" si="0"/>
        <v>28.269444444442343</v>
      </c>
      <c r="I18" s="9" t="s">
        <v>211</v>
      </c>
    </row>
    <row r="19" spans="1:9" x14ac:dyDescent="0.25">
      <c r="A19" s="11"/>
      <c r="B19" s="9" t="s">
        <v>54</v>
      </c>
      <c r="C19" s="9"/>
      <c r="D19" s="9"/>
      <c r="E19" s="21">
        <v>42599.898611111108</v>
      </c>
      <c r="F19" s="21">
        <v>42628.050694444442</v>
      </c>
      <c r="G19" s="22">
        <f t="shared" si="0"/>
        <v>28.152083333334303</v>
      </c>
      <c r="I19" s="9" t="s">
        <v>212</v>
      </c>
    </row>
    <row r="20" spans="1:9" x14ac:dyDescent="0.25">
      <c r="A20" s="11"/>
      <c r="B20" s="9" t="s">
        <v>42</v>
      </c>
      <c r="C20" s="8">
        <v>42600</v>
      </c>
      <c r="D20" s="9" t="s">
        <v>45</v>
      </c>
      <c r="E20" s="21">
        <v>42600.32916666667</v>
      </c>
      <c r="F20" s="21">
        <v>42628.11041666667</v>
      </c>
      <c r="G20" s="22">
        <f t="shared" si="0"/>
        <v>27.78125</v>
      </c>
      <c r="I20" s="9" t="s">
        <v>213</v>
      </c>
    </row>
    <row r="21" spans="1:9" x14ac:dyDescent="0.25">
      <c r="A21" s="11"/>
      <c r="B21" s="9" t="s">
        <v>44</v>
      </c>
      <c r="C21" s="8" t="s">
        <v>3</v>
      </c>
      <c r="D21" s="9" t="s">
        <v>3</v>
      </c>
      <c r="E21" s="21">
        <v>42600.865277777775</v>
      </c>
      <c r="F21" s="21">
        <v>42629.993750000001</v>
      </c>
      <c r="G21" s="22">
        <f t="shared" si="0"/>
        <v>29.128472222226264</v>
      </c>
      <c r="I21" s="9" t="s">
        <v>214</v>
      </c>
    </row>
    <row r="22" spans="1:9" x14ac:dyDescent="0.25">
      <c r="A22" s="11"/>
      <c r="B22" s="9" t="s">
        <v>58</v>
      </c>
      <c r="C22" s="8">
        <v>42601</v>
      </c>
      <c r="D22" s="9" t="s">
        <v>35</v>
      </c>
      <c r="E22" s="21">
        <v>42601.321527777778</v>
      </c>
      <c r="F22" s="21">
        <v>42630.067361111112</v>
      </c>
      <c r="G22" s="22">
        <f t="shared" si="0"/>
        <v>28.745833333334303</v>
      </c>
      <c r="I22" s="9" t="s">
        <v>215</v>
      </c>
    </row>
    <row r="23" spans="1:9" x14ac:dyDescent="0.25">
      <c r="A23" s="11"/>
      <c r="B23" s="9" t="s">
        <v>59</v>
      </c>
      <c r="C23" s="8" t="s">
        <v>3</v>
      </c>
      <c r="D23" s="9" t="s">
        <v>3</v>
      </c>
      <c r="E23" s="21">
        <v>42601.831944444442</v>
      </c>
      <c r="F23" s="21">
        <v>42630.133333333331</v>
      </c>
      <c r="G23" s="22">
        <f t="shared" si="0"/>
        <v>28.301388888889051</v>
      </c>
      <c r="I23" s="9" t="s">
        <v>216</v>
      </c>
    </row>
    <row r="24" spans="1:9" x14ac:dyDescent="0.25">
      <c r="A24" s="11"/>
      <c r="B24" s="9" t="s">
        <v>67</v>
      </c>
      <c r="C24" s="8">
        <v>42610</v>
      </c>
      <c r="D24" s="9" t="s">
        <v>39</v>
      </c>
      <c r="E24" s="21">
        <v>42610.81527777778</v>
      </c>
      <c r="F24" s="21">
        <v>42632.162499999999</v>
      </c>
      <c r="G24" s="22">
        <f t="shared" si="0"/>
        <v>21.347222222218988</v>
      </c>
      <c r="I24" s="9" t="s">
        <v>218</v>
      </c>
    </row>
    <row r="25" spans="1:9" x14ac:dyDescent="0.25">
      <c r="A25" s="12"/>
      <c r="B25" s="7" t="s">
        <v>72</v>
      </c>
      <c r="C25" s="23">
        <v>42627</v>
      </c>
      <c r="D25" s="7" t="s">
        <v>43</v>
      </c>
      <c r="E25" s="24">
        <v>42627.321527777778</v>
      </c>
      <c r="F25" s="24">
        <v>42686.161805555559</v>
      </c>
      <c r="G25" s="25">
        <f t="shared" si="0"/>
        <v>58.840277777781012</v>
      </c>
      <c r="H25" s="12"/>
      <c r="I25" s="7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16" sqref="K16"/>
    </sheetView>
  </sheetViews>
  <sheetFormatPr defaultRowHeight="15" x14ac:dyDescent="0.25"/>
  <cols>
    <col min="1" max="1" width="17" customWidth="1"/>
    <col min="2" max="2" width="14.42578125" customWidth="1"/>
    <col min="3" max="3" width="12.5703125" customWidth="1"/>
    <col min="4" max="4" width="12.7109375" customWidth="1"/>
    <col min="5" max="5" width="25.140625" customWidth="1"/>
    <col min="6" max="6" width="20.85546875" customWidth="1"/>
    <col min="7" max="7" width="24.42578125" customWidth="1"/>
  </cols>
  <sheetData>
    <row r="1" spans="1:13" x14ac:dyDescent="0.25">
      <c r="A1" t="s">
        <v>46</v>
      </c>
      <c r="C1" s="10">
        <v>42591</v>
      </c>
    </row>
    <row r="3" spans="1:13" s="15" customFormat="1" ht="48.75" customHeight="1" x14ac:dyDescent="0.25">
      <c r="A3" s="13" t="s">
        <v>74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</row>
    <row r="4" spans="1:13" x14ac:dyDescent="0.25">
      <c r="A4" s="16"/>
      <c r="B4" s="11"/>
      <c r="C4" s="11"/>
      <c r="D4" s="11"/>
      <c r="E4" s="11"/>
      <c r="F4" s="11"/>
      <c r="G4" s="11"/>
    </row>
    <row r="5" spans="1:13" x14ac:dyDescent="0.25">
      <c r="A5" s="17"/>
      <c r="B5" s="12"/>
      <c r="C5" s="12"/>
      <c r="D5" s="12"/>
      <c r="E5" s="12" t="s">
        <v>3</v>
      </c>
      <c r="F5" s="12" t="s">
        <v>3</v>
      </c>
      <c r="G5" s="12"/>
    </row>
    <row r="6" spans="1:13" x14ac:dyDescent="0.25">
      <c r="A6" s="6" t="s">
        <v>75</v>
      </c>
      <c r="B6" s="9" t="s">
        <v>31</v>
      </c>
      <c r="C6" s="18">
        <v>42591</v>
      </c>
      <c r="D6" s="6" t="s">
        <v>41</v>
      </c>
      <c r="E6" s="19">
        <v>42591.315972222219</v>
      </c>
      <c r="F6" s="19">
        <v>42633.543749999997</v>
      </c>
      <c r="G6" s="20">
        <f>F6-E6</f>
        <v>42.227777777778101</v>
      </c>
      <c r="H6" t="s">
        <v>33</v>
      </c>
      <c r="I6" t="s">
        <v>3</v>
      </c>
      <c r="J6" t="s">
        <v>3</v>
      </c>
      <c r="K6" t="s">
        <v>3</v>
      </c>
      <c r="L6" t="s">
        <v>3</v>
      </c>
      <c r="M6" t="s">
        <v>3</v>
      </c>
    </row>
    <row r="7" spans="1:13" x14ac:dyDescent="0.25">
      <c r="A7" s="9" t="s">
        <v>3</v>
      </c>
      <c r="B7" s="9" t="s">
        <v>34</v>
      </c>
      <c r="C7" s="8">
        <v>42595</v>
      </c>
      <c r="D7" s="9" t="s">
        <v>37</v>
      </c>
      <c r="E7" s="21">
        <v>42595.292361111111</v>
      </c>
      <c r="F7" s="21">
        <v>42633.601388888892</v>
      </c>
      <c r="G7" s="22">
        <f t="shared" ref="G7:G30" si="0">F7-E7</f>
        <v>38.309027777781012</v>
      </c>
    </row>
    <row r="8" spans="1:13" x14ac:dyDescent="0.25">
      <c r="A8" s="9"/>
      <c r="B8" s="9" t="s">
        <v>36</v>
      </c>
      <c r="C8" s="8">
        <v>42504</v>
      </c>
      <c r="D8" s="9" t="s">
        <v>39</v>
      </c>
      <c r="E8" s="21">
        <v>42596.304861111108</v>
      </c>
      <c r="F8" s="21">
        <v>42633.658333333333</v>
      </c>
      <c r="G8" s="22">
        <f t="shared" si="0"/>
        <v>37.353472222224809</v>
      </c>
    </row>
    <row r="9" spans="1:13" x14ac:dyDescent="0.25">
      <c r="A9" s="9"/>
      <c r="B9" s="9" t="s">
        <v>48</v>
      </c>
      <c r="C9" s="8" t="s">
        <v>3</v>
      </c>
      <c r="D9" s="9" t="s">
        <v>3</v>
      </c>
      <c r="E9" s="21">
        <v>42596.788888888892</v>
      </c>
      <c r="F9" s="21">
        <v>42633.716666666667</v>
      </c>
      <c r="G9" s="22">
        <f t="shared" si="0"/>
        <v>36.927777777775191</v>
      </c>
    </row>
    <row r="10" spans="1:13" x14ac:dyDescent="0.25">
      <c r="A10" s="9"/>
      <c r="B10" s="9" t="s">
        <v>38</v>
      </c>
      <c r="C10" s="8">
        <v>42597</v>
      </c>
      <c r="D10" s="9" t="s">
        <v>32</v>
      </c>
      <c r="E10" s="21">
        <v>42597.294444444444</v>
      </c>
      <c r="F10" s="21">
        <v>42633.773611111108</v>
      </c>
      <c r="G10" s="22">
        <f t="shared" si="0"/>
        <v>36.479166666664241</v>
      </c>
    </row>
    <row r="11" spans="1:13" x14ac:dyDescent="0.25">
      <c r="A11" s="9"/>
      <c r="B11" s="9" t="s">
        <v>49</v>
      </c>
      <c r="C11" s="8" t="s">
        <v>3</v>
      </c>
      <c r="D11" s="9" t="s">
        <v>3</v>
      </c>
      <c r="E11" s="21">
        <v>42597.788194444445</v>
      </c>
      <c r="F11" s="21">
        <v>42633.835416666669</v>
      </c>
      <c r="G11" s="22">
        <f t="shared" si="0"/>
        <v>36.047222222223354</v>
      </c>
    </row>
    <row r="12" spans="1:13" x14ac:dyDescent="0.25">
      <c r="A12" s="11"/>
      <c r="B12" s="9" t="s">
        <v>40</v>
      </c>
      <c r="C12" s="8">
        <v>42598</v>
      </c>
      <c r="D12" s="9" t="s">
        <v>57</v>
      </c>
      <c r="E12" s="21">
        <v>42598.293749999997</v>
      </c>
      <c r="F12" s="21">
        <v>42633.902777777781</v>
      </c>
      <c r="G12" s="22">
        <f t="shared" si="0"/>
        <v>35.609027777783922</v>
      </c>
    </row>
    <row r="13" spans="1:13" x14ac:dyDescent="0.25">
      <c r="A13" s="11"/>
      <c r="B13" s="9" t="s">
        <v>50</v>
      </c>
      <c r="C13" s="8" t="s">
        <v>3</v>
      </c>
      <c r="D13" s="9"/>
      <c r="E13" s="21">
        <v>42598.46875</v>
      </c>
      <c r="F13" s="21">
        <v>42633.968055555553</v>
      </c>
      <c r="G13" s="22">
        <f t="shared" si="0"/>
        <v>35.499305555553292</v>
      </c>
    </row>
    <row r="14" spans="1:13" x14ac:dyDescent="0.25">
      <c r="A14" s="11"/>
      <c r="B14" s="9" t="s">
        <v>51</v>
      </c>
      <c r="C14" s="8" t="s">
        <v>3</v>
      </c>
      <c r="D14" s="9" t="s">
        <v>3</v>
      </c>
      <c r="E14" s="21">
        <v>42598.637499999997</v>
      </c>
      <c r="F14" s="21">
        <v>42634.038194444445</v>
      </c>
      <c r="G14" s="22">
        <f t="shared" si="0"/>
        <v>35.400694444448163</v>
      </c>
    </row>
    <row r="15" spans="1:13" x14ac:dyDescent="0.25">
      <c r="A15" s="11"/>
      <c r="B15" s="9" t="s">
        <v>52</v>
      </c>
      <c r="C15" s="9"/>
      <c r="D15" s="9"/>
      <c r="E15" s="21">
        <v>42598.814583333333</v>
      </c>
      <c r="F15" s="21">
        <v>42634.105555555558</v>
      </c>
      <c r="G15" s="22">
        <f t="shared" si="0"/>
        <v>35.290972222224809</v>
      </c>
    </row>
    <row r="16" spans="1:13" x14ac:dyDescent="0.25">
      <c r="A16" s="11"/>
      <c r="B16" s="9" t="s">
        <v>53</v>
      </c>
      <c r="C16" s="8">
        <v>42599</v>
      </c>
      <c r="D16" s="9" t="s">
        <v>43</v>
      </c>
      <c r="E16" s="21">
        <v>42599.291666666664</v>
      </c>
      <c r="F16" s="21">
        <v>42634.57916666667</v>
      </c>
      <c r="G16" s="22">
        <f t="shared" si="0"/>
        <v>35.287500000005821</v>
      </c>
    </row>
    <row r="17" spans="1:7" x14ac:dyDescent="0.25">
      <c r="A17" s="11"/>
      <c r="B17" s="9" t="s">
        <v>55</v>
      </c>
      <c r="C17" s="9"/>
      <c r="D17" s="9"/>
      <c r="E17" s="21">
        <v>42599.513888888891</v>
      </c>
      <c r="F17" s="21">
        <v>42634.637499999997</v>
      </c>
      <c r="G17" s="22">
        <f t="shared" si="0"/>
        <v>35.123611111106584</v>
      </c>
    </row>
    <row r="18" spans="1:7" x14ac:dyDescent="0.25">
      <c r="A18" s="11"/>
      <c r="B18" s="9" t="s">
        <v>56</v>
      </c>
      <c r="C18" s="8" t="s">
        <v>3</v>
      </c>
      <c r="D18" s="9" t="s">
        <v>3</v>
      </c>
      <c r="E18" s="21">
        <v>42599.680555555555</v>
      </c>
      <c r="F18" s="21">
        <v>42634.693055555559</v>
      </c>
      <c r="G18" s="22">
        <f t="shared" si="0"/>
        <v>35.012500000004366</v>
      </c>
    </row>
    <row r="19" spans="1:7" x14ac:dyDescent="0.25">
      <c r="A19" s="11"/>
      <c r="B19" s="9" t="s">
        <v>54</v>
      </c>
      <c r="C19" s="9"/>
      <c r="D19" s="9"/>
      <c r="E19" s="21">
        <v>42599.851388888892</v>
      </c>
      <c r="F19" s="21">
        <v>42684.813194444447</v>
      </c>
      <c r="G19" s="22">
        <f t="shared" si="0"/>
        <v>84.961805555554747</v>
      </c>
    </row>
    <row r="20" spans="1:7" x14ac:dyDescent="0.25">
      <c r="A20" s="11"/>
      <c r="B20" s="9" t="s">
        <v>42</v>
      </c>
      <c r="C20" s="8">
        <v>42600</v>
      </c>
      <c r="D20" s="9" t="s">
        <v>45</v>
      </c>
      <c r="E20" s="21">
        <v>42600.29583333333</v>
      </c>
      <c r="F20" s="21">
        <v>42684.868055555555</v>
      </c>
      <c r="G20" s="22">
        <f t="shared" si="0"/>
        <v>84.572222222224809</v>
      </c>
    </row>
    <row r="21" spans="1:7" x14ac:dyDescent="0.25">
      <c r="A21" s="11"/>
      <c r="B21" s="9" t="s">
        <v>44</v>
      </c>
      <c r="C21" s="8" t="s">
        <v>3</v>
      </c>
      <c r="D21" s="9" t="s">
        <v>3</v>
      </c>
      <c r="E21" s="21">
        <v>42600.810416666667</v>
      </c>
      <c r="F21" s="21">
        <v>42684.920138888891</v>
      </c>
      <c r="G21" s="22">
        <f t="shared" si="0"/>
        <v>84.109722222223354</v>
      </c>
    </row>
    <row r="22" spans="1:7" x14ac:dyDescent="0.25">
      <c r="A22" s="11"/>
      <c r="B22" s="9" t="s">
        <v>58</v>
      </c>
      <c r="C22" s="8">
        <v>42601</v>
      </c>
      <c r="D22" s="9" t="s">
        <v>35</v>
      </c>
      <c r="E22" s="21">
        <v>42601.288194444445</v>
      </c>
      <c r="F22" s="21">
        <v>42684.973611111112</v>
      </c>
      <c r="G22" s="22">
        <f t="shared" si="0"/>
        <v>83.685416666667152</v>
      </c>
    </row>
    <row r="23" spans="1:7" x14ac:dyDescent="0.25">
      <c r="A23" s="11"/>
      <c r="B23" s="9" t="s">
        <v>59</v>
      </c>
      <c r="C23" s="8" t="s">
        <v>3</v>
      </c>
      <c r="D23" s="9" t="s">
        <v>3</v>
      </c>
      <c r="E23" s="21">
        <v>42601.793749999997</v>
      </c>
      <c r="F23" s="21">
        <v>42685.02847222222</v>
      </c>
      <c r="G23" s="22">
        <f t="shared" si="0"/>
        <v>83.234722222223354</v>
      </c>
    </row>
    <row r="24" spans="1:7" x14ac:dyDescent="0.25">
      <c r="A24" s="11"/>
      <c r="B24" s="9" t="s">
        <v>66</v>
      </c>
      <c r="C24" s="8">
        <v>42606</v>
      </c>
      <c r="D24" s="9"/>
      <c r="E24" s="21">
        <v>42606.785416666666</v>
      </c>
      <c r="F24" s="21">
        <v>42685.081944444442</v>
      </c>
      <c r="G24" s="22">
        <f t="shared" si="0"/>
        <v>78.296527777776646</v>
      </c>
    </row>
    <row r="25" spans="1:7" x14ac:dyDescent="0.25">
      <c r="A25" s="11"/>
      <c r="B25" s="9" t="s">
        <v>68</v>
      </c>
      <c r="C25" s="8">
        <v>42609</v>
      </c>
      <c r="D25" s="9"/>
      <c r="E25" s="21">
        <v>42609.401388888888</v>
      </c>
      <c r="F25" s="21">
        <v>42685.135416666664</v>
      </c>
      <c r="G25" s="22">
        <f t="shared" si="0"/>
        <v>75.734027777776646</v>
      </c>
    </row>
    <row r="26" spans="1:7" x14ac:dyDescent="0.25">
      <c r="A26" s="11"/>
      <c r="B26" s="9" t="s">
        <v>67</v>
      </c>
      <c r="C26" s="8">
        <v>42610</v>
      </c>
      <c r="D26" s="9" t="s">
        <v>39</v>
      </c>
      <c r="E26" s="21">
        <v>42610.797222222223</v>
      </c>
      <c r="F26" s="21">
        <v>42685.19027777778</v>
      </c>
      <c r="G26" s="22">
        <f t="shared" si="0"/>
        <v>74.393055555556202</v>
      </c>
    </row>
    <row r="27" spans="1:7" x14ac:dyDescent="0.25">
      <c r="A27" s="11"/>
      <c r="B27" s="9" t="s">
        <v>71</v>
      </c>
      <c r="C27" s="8">
        <v>42612</v>
      </c>
      <c r="D27" s="9" t="s">
        <v>41</v>
      </c>
      <c r="E27" s="21">
        <v>42612.316666666666</v>
      </c>
      <c r="F27" s="21">
        <v>42685.243055555555</v>
      </c>
      <c r="G27" s="22">
        <f t="shared" si="0"/>
        <v>72.926388888889051</v>
      </c>
    </row>
    <row r="28" spans="1:7" x14ac:dyDescent="0.25">
      <c r="A28" s="11"/>
      <c r="B28" s="9" t="s">
        <v>70</v>
      </c>
      <c r="C28" s="8">
        <v>42615</v>
      </c>
      <c r="D28" s="9" t="s">
        <v>35</v>
      </c>
      <c r="E28" s="21">
        <v>42615.386805555558</v>
      </c>
      <c r="F28" s="21">
        <v>42685.297222222223</v>
      </c>
      <c r="G28" s="22">
        <f t="shared" si="0"/>
        <v>69.910416666665697</v>
      </c>
    </row>
    <row r="29" spans="1:7" x14ac:dyDescent="0.25">
      <c r="A29" s="11"/>
      <c r="B29" s="9" t="s">
        <v>73</v>
      </c>
      <c r="C29" s="8">
        <v>42624</v>
      </c>
      <c r="D29" s="9" t="s">
        <v>37</v>
      </c>
      <c r="E29" s="21">
        <v>42624.338194444441</v>
      </c>
      <c r="F29" s="21">
        <v>42685.352777777778</v>
      </c>
      <c r="G29" s="22">
        <f t="shared" si="0"/>
        <v>61.014583333337214</v>
      </c>
    </row>
    <row r="30" spans="1:7" x14ac:dyDescent="0.25">
      <c r="A30" s="12"/>
      <c r="B30" s="7" t="s">
        <v>72</v>
      </c>
      <c r="C30" s="23">
        <v>42627</v>
      </c>
      <c r="D30" s="7" t="s">
        <v>43</v>
      </c>
      <c r="E30" s="24">
        <v>42627.404861111114</v>
      </c>
      <c r="F30" s="24">
        <v>42685.40625</v>
      </c>
      <c r="G30" s="25">
        <f t="shared" si="0"/>
        <v>58.00138888888614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C29" sqref="C29"/>
    </sheetView>
  </sheetViews>
  <sheetFormatPr defaultRowHeight="15" x14ac:dyDescent="0.25"/>
  <cols>
    <col min="1" max="1" width="17" customWidth="1"/>
    <col min="2" max="2" width="14.42578125" customWidth="1"/>
    <col min="3" max="3" width="12.5703125" customWidth="1"/>
    <col min="4" max="4" width="12.7109375" customWidth="1"/>
    <col min="5" max="5" width="25.140625" customWidth="1"/>
    <col min="6" max="6" width="20.85546875" customWidth="1"/>
    <col min="7" max="7" width="24.42578125" customWidth="1"/>
  </cols>
  <sheetData>
    <row r="1" spans="1:15" x14ac:dyDescent="0.25">
      <c r="A1" t="s">
        <v>46</v>
      </c>
      <c r="C1" s="10">
        <v>42591</v>
      </c>
    </row>
    <row r="3" spans="1:15" s="15" customFormat="1" ht="48.75" customHeight="1" x14ac:dyDescent="0.25">
      <c r="A3" s="13" t="s">
        <v>74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</row>
    <row r="4" spans="1:15" x14ac:dyDescent="0.25">
      <c r="A4" s="16"/>
      <c r="B4" s="11"/>
      <c r="C4" s="11"/>
      <c r="D4" s="11"/>
      <c r="E4" s="11"/>
      <c r="F4" s="11"/>
      <c r="G4" s="11"/>
    </row>
    <row r="5" spans="1:15" x14ac:dyDescent="0.25">
      <c r="A5" s="17"/>
      <c r="B5" s="12"/>
      <c r="C5" s="12"/>
      <c r="D5" s="12"/>
      <c r="E5" s="12" t="s">
        <v>3</v>
      </c>
      <c r="F5" s="12" t="s">
        <v>3</v>
      </c>
      <c r="G5" s="12"/>
    </row>
    <row r="6" spans="1:15" x14ac:dyDescent="0.25">
      <c r="A6" s="6" t="s">
        <v>77</v>
      </c>
      <c r="B6" s="9" t="s">
        <v>31</v>
      </c>
      <c r="C6" s="18">
        <v>42591</v>
      </c>
      <c r="D6" s="6" t="s">
        <v>41</v>
      </c>
      <c r="E6" s="19">
        <v>42591.34375</v>
      </c>
      <c r="F6" s="19">
        <v>42688.568749999999</v>
      </c>
      <c r="G6" s="20">
        <f>F6-E6</f>
        <v>97.224999999998545</v>
      </c>
      <c r="I6" t="s">
        <v>3</v>
      </c>
      <c r="J6" t="s">
        <v>33</v>
      </c>
      <c r="K6" t="s">
        <v>3</v>
      </c>
      <c r="L6" t="s">
        <v>3</v>
      </c>
      <c r="M6" t="s">
        <v>3</v>
      </c>
      <c r="N6" t="s">
        <v>3</v>
      </c>
      <c r="O6" t="s">
        <v>3</v>
      </c>
    </row>
    <row r="7" spans="1:15" x14ac:dyDescent="0.25">
      <c r="A7" s="9" t="s">
        <v>3</v>
      </c>
      <c r="B7" s="9" t="s">
        <v>34</v>
      </c>
      <c r="C7" s="8">
        <v>42595</v>
      </c>
      <c r="D7" s="9" t="s">
        <v>37</v>
      </c>
      <c r="E7" s="21">
        <v>42595.363194444442</v>
      </c>
      <c r="F7" s="21">
        <v>42688.623611111114</v>
      </c>
      <c r="G7" s="22">
        <f t="shared" ref="G7:G24" si="0">F7-E7</f>
        <v>93.260416666671517</v>
      </c>
    </row>
    <row r="8" spans="1:15" x14ac:dyDescent="0.25">
      <c r="A8" s="9"/>
      <c r="B8" s="9" t="s">
        <v>36</v>
      </c>
      <c r="C8" s="8">
        <v>42504</v>
      </c>
      <c r="D8" s="9" t="s">
        <v>39</v>
      </c>
      <c r="E8" s="21">
        <v>42596.343055555553</v>
      </c>
      <c r="F8" s="21">
        <v>42688.676388888889</v>
      </c>
      <c r="G8" s="22">
        <f t="shared" si="0"/>
        <v>92.333333333335759</v>
      </c>
    </row>
    <row r="9" spans="1:15" x14ac:dyDescent="0.25">
      <c r="A9" s="9"/>
      <c r="B9" s="9" t="s">
        <v>48</v>
      </c>
      <c r="C9" s="8" t="s">
        <v>3</v>
      </c>
      <c r="D9" s="9" t="s">
        <v>3</v>
      </c>
      <c r="E9" s="21">
        <v>42596.834722222222</v>
      </c>
      <c r="F9" s="21">
        <v>42688.729166666664</v>
      </c>
      <c r="G9" s="22">
        <f t="shared" si="0"/>
        <v>91.894444444442343</v>
      </c>
    </row>
    <row r="10" spans="1:15" x14ac:dyDescent="0.25">
      <c r="A10" s="9"/>
      <c r="B10" s="9" t="s">
        <v>38</v>
      </c>
      <c r="C10" s="8">
        <v>42597</v>
      </c>
      <c r="D10" s="9" t="s">
        <v>32</v>
      </c>
      <c r="E10" s="21">
        <v>42597.368750000001</v>
      </c>
      <c r="F10" s="21">
        <v>42688.78402777778</v>
      </c>
      <c r="G10" s="22">
        <f t="shared" si="0"/>
        <v>91.415277777778101</v>
      </c>
    </row>
    <row r="11" spans="1:15" x14ac:dyDescent="0.25">
      <c r="A11" s="9"/>
      <c r="B11" s="9" t="s">
        <v>49</v>
      </c>
      <c r="C11" s="8" t="s">
        <v>3</v>
      </c>
      <c r="D11" s="9" t="s">
        <v>3</v>
      </c>
      <c r="E11" s="21">
        <v>42597.873611111114</v>
      </c>
      <c r="F11" s="21">
        <v>42688.836805555555</v>
      </c>
      <c r="G11" s="22">
        <f t="shared" si="0"/>
        <v>90.963194444440887</v>
      </c>
    </row>
    <row r="12" spans="1:15" x14ac:dyDescent="0.25">
      <c r="A12" s="11"/>
      <c r="B12" s="9" t="s">
        <v>40</v>
      </c>
      <c r="C12" s="8">
        <v>42598</v>
      </c>
      <c r="D12" s="9" t="s">
        <v>57</v>
      </c>
      <c r="E12" s="21">
        <v>42598.336111111108</v>
      </c>
      <c r="F12" s="21">
        <v>42688.890277777777</v>
      </c>
      <c r="G12" s="22">
        <f t="shared" si="0"/>
        <v>90.554166666668607</v>
      </c>
    </row>
    <row r="13" spans="1:15" x14ac:dyDescent="0.25">
      <c r="A13" s="11"/>
      <c r="B13" s="9" t="s">
        <v>50</v>
      </c>
      <c r="C13" s="8" t="s">
        <v>3</v>
      </c>
      <c r="D13" s="9"/>
      <c r="E13" s="21">
        <v>42598.518055555556</v>
      </c>
      <c r="F13" s="21">
        <v>42688.945833333331</v>
      </c>
      <c r="G13" s="22">
        <f t="shared" si="0"/>
        <v>90.427777777775191</v>
      </c>
    </row>
    <row r="14" spans="1:15" x14ac:dyDescent="0.25">
      <c r="A14" s="11"/>
      <c r="B14" s="9" t="s">
        <v>51</v>
      </c>
      <c r="C14" s="8" t="s">
        <v>3</v>
      </c>
      <c r="D14" s="9" t="s">
        <v>3</v>
      </c>
      <c r="E14" s="21">
        <v>42598.676388888889</v>
      </c>
      <c r="F14" s="21">
        <v>42688.997916666667</v>
      </c>
      <c r="G14" s="22">
        <f t="shared" si="0"/>
        <v>90.321527777778101</v>
      </c>
    </row>
    <row r="15" spans="1:15" x14ac:dyDescent="0.25">
      <c r="A15" s="11"/>
      <c r="B15" s="9" t="s">
        <v>52</v>
      </c>
      <c r="C15" s="9"/>
      <c r="D15" s="9"/>
      <c r="E15" s="21">
        <v>42598.852083333331</v>
      </c>
      <c r="F15" s="21">
        <v>42689.052083333336</v>
      </c>
      <c r="G15" s="22">
        <f t="shared" si="0"/>
        <v>90.200000000004366</v>
      </c>
    </row>
    <row r="16" spans="1:15" x14ac:dyDescent="0.25">
      <c r="A16" s="11"/>
      <c r="B16" s="9" t="s">
        <v>53</v>
      </c>
      <c r="C16" s="8">
        <v>42599</v>
      </c>
      <c r="D16" s="9" t="s">
        <v>43</v>
      </c>
      <c r="E16" s="21">
        <v>42599.31527777778</v>
      </c>
      <c r="F16" s="21">
        <v>42689.527083333334</v>
      </c>
      <c r="G16" s="22">
        <f t="shared" si="0"/>
        <v>90.211805555554747</v>
      </c>
    </row>
    <row r="17" spans="1:7" x14ac:dyDescent="0.25">
      <c r="A17" s="11"/>
      <c r="B17" s="9" t="s">
        <v>55</v>
      </c>
      <c r="C17" s="9"/>
      <c r="D17" s="9"/>
      <c r="E17" s="21">
        <v>42599.547222222223</v>
      </c>
      <c r="F17" s="21">
        <v>42689.581944444442</v>
      </c>
      <c r="G17" s="22">
        <f t="shared" si="0"/>
        <v>90.034722222218988</v>
      </c>
    </row>
    <row r="18" spans="1:7" x14ac:dyDescent="0.25">
      <c r="A18" s="11"/>
      <c r="B18" s="9" t="s">
        <v>56</v>
      </c>
      <c r="C18" s="8" t="s">
        <v>3</v>
      </c>
      <c r="D18" s="9" t="s">
        <v>3</v>
      </c>
      <c r="E18" s="21">
        <v>42599.716666666667</v>
      </c>
      <c r="F18" s="21">
        <v>42689.634722222225</v>
      </c>
      <c r="G18" s="22">
        <f t="shared" si="0"/>
        <v>89.918055555557657</v>
      </c>
    </row>
    <row r="19" spans="1:7" x14ac:dyDescent="0.25">
      <c r="A19" s="11"/>
      <c r="B19" s="9" t="s">
        <v>54</v>
      </c>
      <c r="C19" s="9"/>
      <c r="D19" s="9"/>
      <c r="E19" s="21">
        <v>42599.895833333336</v>
      </c>
      <c r="F19" s="21">
        <v>42689.688194444447</v>
      </c>
      <c r="G19" s="22">
        <f t="shared" si="0"/>
        <v>89.792361111110949</v>
      </c>
    </row>
    <row r="20" spans="1:7" x14ac:dyDescent="0.25">
      <c r="A20" s="11"/>
      <c r="B20" s="9" t="s">
        <v>42</v>
      </c>
      <c r="C20" s="8">
        <v>42600</v>
      </c>
      <c r="D20" s="9" t="s">
        <v>45</v>
      </c>
      <c r="E20" s="21">
        <v>42600.330555555556</v>
      </c>
      <c r="F20" s="21">
        <v>42689.743055555555</v>
      </c>
      <c r="G20" s="22">
        <f t="shared" si="0"/>
        <v>89.412499999998545</v>
      </c>
    </row>
    <row r="21" spans="1:7" x14ac:dyDescent="0.25">
      <c r="A21" s="11"/>
      <c r="B21" s="9" t="s">
        <v>44</v>
      </c>
      <c r="C21" s="8" t="s">
        <v>3</v>
      </c>
      <c r="D21" s="9" t="s">
        <v>3</v>
      </c>
      <c r="E21" s="21">
        <v>42600.820138888892</v>
      </c>
      <c r="F21" s="21">
        <v>42689.79583333333</v>
      </c>
      <c r="G21" s="22">
        <f t="shared" si="0"/>
        <v>88.975694444437977</v>
      </c>
    </row>
    <row r="22" spans="1:7" x14ac:dyDescent="0.25">
      <c r="A22" s="11"/>
      <c r="B22" s="9" t="s">
        <v>58</v>
      </c>
      <c r="C22" s="8">
        <v>42601</v>
      </c>
      <c r="D22" s="9" t="s">
        <v>35</v>
      </c>
      <c r="E22" s="21">
        <v>42601.315972222219</v>
      </c>
      <c r="F22" s="21">
        <v>42689.849305555559</v>
      </c>
      <c r="G22" s="22">
        <f t="shared" si="0"/>
        <v>88.533333333340124</v>
      </c>
    </row>
    <row r="23" spans="1:7" x14ac:dyDescent="0.25">
      <c r="A23" s="11"/>
      <c r="B23" s="9" t="s">
        <v>59</v>
      </c>
      <c r="C23" s="8" t="s">
        <v>3</v>
      </c>
      <c r="D23" s="9" t="s">
        <v>3</v>
      </c>
      <c r="E23" s="21">
        <v>42601.793749999997</v>
      </c>
      <c r="F23" s="21">
        <v>42689.90347222222</v>
      </c>
      <c r="G23" s="22">
        <f t="shared" si="0"/>
        <v>88.109722222223354</v>
      </c>
    </row>
    <row r="24" spans="1:7" x14ac:dyDescent="0.25">
      <c r="A24" s="12"/>
      <c r="B24" s="7" t="s">
        <v>72</v>
      </c>
      <c r="C24" s="23">
        <v>42627</v>
      </c>
      <c r="D24" s="7" t="s">
        <v>43</v>
      </c>
      <c r="E24" s="24">
        <v>42627.376388888886</v>
      </c>
      <c r="F24" s="24">
        <v>42689.955555555556</v>
      </c>
      <c r="G24" s="25">
        <f t="shared" si="0"/>
        <v>62.579166666670062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G1" sqref="G1"/>
    </sheetView>
  </sheetViews>
  <sheetFormatPr defaultRowHeight="15" x14ac:dyDescent="0.25"/>
  <cols>
    <col min="1" max="1" width="17" customWidth="1"/>
    <col min="2" max="2" width="14.42578125" customWidth="1"/>
    <col min="3" max="3" width="12.5703125" customWidth="1"/>
    <col min="4" max="4" width="12.7109375" customWidth="1"/>
    <col min="5" max="5" width="25.140625" customWidth="1"/>
    <col min="6" max="6" width="20.85546875" customWidth="1"/>
    <col min="7" max="7" width="24.42578125" customWidth="1"/>
  </cols>
  <sheetData>
    <row r="1" spans="1:8" x14ac:dyDescent="0.25">
      <c r="A1" t="s">
        <v>46</v>
      </c>
      <c r="C1" s="10">
        <v>42591</v>
      </c>
    </row>
    <row r="3" spans="1:8" s="15" customFormat="1" ht="48.75" customHeight="1" x14ac:dyDescent="0.25">
      <c r="A3" s="13" t="s">
        <v>74</v>
      </c>
      <c r="B3" s="26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</row>
    <row r="4" spans="1:8" x14ac:dyDescent="0.25">
      <c r="A4" s="16"/>
      <c r="B4" s="11"/>
      <c r="C4" s="11"/>
      <c r="D4" s="11"/>
      <c r="E4" s="11"/>
      <c r="F4" s="11"/>
      <c r="G4" s="11"/>
    </row>
    <row r="5" spans="1:8" x14ac:dyDescent="0.25">
      <c r="A5" s="17"/>
      <c r="B5" s="12"/>
      <c r="C5" s="12"/>
      <c r="D5" s="12"/>
      <c r="E5" s="12" t="s">
        <v>3</v>
      </c>
      <c r="F5" s="12" t="s">
        <v>3</v>
      </c>
      <c r="G5" s="12"/>
    </row>
    <row r="6" spans="1:8" x14ac:dyDescent="0.25">
      <c r="A6" s="6" t="s">
        <v>76</v>
      </c>
      <c r="B6" s="9" t="s">
        <v>31</v>
      </c>
      <c r="C6" s="18">
        <v>42591</v>
      </c>
      <c r="D6" s="6" t="s">
        <v>41</v>
      </c>
      <c r="E6" s="19">
        <v>42591.365972222222</v>
      </c>
      <c r="F6" s="19">
        <v>42690.549305555556</v>
      </c>
      <c r="G6" s="20">
        <f>F6-E6</f>
        <v>99.183333333334303</v>
      </c>
      <c r="H6" t="s">
        <v>3</v>
      </c>
    </row>
    <row r="7" spans="1:8" x14ac:dyDescent="0.25">
      <c r="A7" s="9" t="s">
        <v>3</v>
      </c>
      <c r="B7" s="9" t="s">
        <v>34</v>
      </c>
      <c r="C7" s="8">
        <v>42595</v>
      </c>
      <c r="D7" s="9" t="s">
        <v>37</v>
      </c>
      <c r="E7" s="21">
        <v>42595.40347222222</v>
      </c>
      <c r="F7" s="21">
        <v>42690.603472222225</v>
      </c>
      <c r="G7" s="22">
        <f t="shared" ref="G7:G24" si="0">F7-E7</f>
        <v>95.200000000004366</v>
      </c>
    </row>
    <row r="8" spans="1:8" x14ac:dyDescent="0.25">
      <c r="A8" s="9"/>
      <c r="B8" s="9" t="s">
        <v>36</v>
      </c>
      <c r="C8" s="8">
        <v>42504</v>
      </c>
      <c r="D8" s="9" t="s">
        <v>39</v>
      </c>
      <c r="E8" s="21">
        <v>42596.380555555559</v>
      </c>
      <c r="F8" s="21">
        <v>42690.65625</v>
      </c>
      <c r="G8" s="22">
        <f t="shared" si="0"/>
        <v>94.275694444440887</v>
      </c>
    </row>
    <row r="9" spans="1:8" x14ac:dyDescent="0.25">
      <c r="A9" s="9"/>
      <c r="B9" s="9" t="s">
        <v>48</v>
      </c>
      <c r="C9" s="8" t="s">
        <v>3</v>
      </c>
      <c r="D9" s="9" t="s">
        <v>3</v>
      </c>
      <c r="E9" s="21">
        <v>42596.872916666667</v>
      </c>
      <c r="F9" s="21">
        <v>42690.709722222222</v>
      </c>
      <c r="G9" s="22">
        <f t="shared" si="0"/>
        <v>93.836805555554747</v>
      </c>
    </row>
    <row r="10" spans="1:8" x14ac:dyDescent="0.25">
      <c r="A10" s="9"/>
      <c r="B10" s="9" t="s">
        <v>38</v>
      </c>
      <c r="C10" s="8">
        <v>42597</v>
      </c>
      <c r="D10" s="9" t="s">
        <v>32</v>
      </c>
      <c r="E10" s="21">
        <v>42597.383333333331</v>
      </c>
      <c r="F10" s="21">
        <v>42690.76458333333</v>
      </c>
      <c r="G10" s="22">
        <f t="shared" si="0"/>
        <v>93.381249999998545</v>
      </c>
    </row>
    <row r="11" spans="1:8" x14ac:dyDescent="0.25">
      <c r="A11" s="9"/>
      <c r="B11" s="9" t="s">
        <v>49</v>
      </c>
      <c r="C11" s="8" t="s">
        <v>3</v>
      </c>
      <c r="D11" s="9" t="s">
        <v>3</v>
      </c>
      <c r="E11" s="21">
        <v>42597.885416666664</v>
      </c>
      <c r="F11" s="21">
        <v>42690.817361111112</v>
      </c>
      <c r="G11" s="22">
        <f t="shared" si="0"/>
        <v>92.931944444448163</v>
      </c>
    </row>
    <row r="12" spans="1:8" x14ac:dyDescent="0.25">
      <c r="A12" s="11"/>
      <c r="B12" s="9" t="s">
        <v>40</v>
      </c>
      <c r="C12" s="8">
        <v>42598</v>
      </c>
      <c r="D12" s="9" t="s">
        <v>57</v>
      </c>
      <c r="E12" s="21">
        <v>42598.365277777775</v>
      </c>
      <c r="F12" s="21">
        <v>42690.870833333334</v>
      </c>
      <c r="G12" s="22">
        <f t="shared" si="0"/>
        <v>92.505555555559113</v>
      </c>
    </row>
    <row r="13" spans="1:8" x14ac:dyDescent="0.25">
      <c r="A13" s="11"/>
      <c r="B13" s="9" t="s">
        <v>50</v>
      </c>
      <c r="C13" s="8" t="s">
        <v>3</v>
      </c>
      <c r="D13" s="9"/>
      <c r="E13" s="21">
        <v>42598.534722222219</v>
      </c>
      <c r="F13" s="21">
        <v>42690.925694444442</v>
      </c>
      <c r="G13" s="22">
        <f t="shared" si="0"/>
        <v>92.390972222223354</v>
      </c>
    </row>
    <row r="14" spans="1:8" x14ac:dyDescent="0.25">
      <c r="A14" s="11"/>
      <c r="B14" s="9" t="s">
        <v>51</v>
      </c>
      <c r="C14" s="8" t="s">
        <v>3</v>
      </c>
      <c r="D14" s="9" t="s">
        <v>3</v>
      </c>
      <c r="E14" s="21">
        <v>42598.701388888891</v>
      </c>
      <c r="F14" s="21">
        <v>42690.978472222225</v>
      </c>
      <c r="G14" s="22">
        <f t="shared" si="0"/>
        <v>92.277083333334303</v>
      </c>
    </row>
    <row r="15" spans="1:8" x14ac:dyDescent="0.25">
      <c r="A15" s="11"/>
      <c r="B15" s="9" t="s">
        <v>52</v>
      </c>
      <c r="C15" s="9"/>
      <c r="D15" s="9"/>
      <c r="E15" s="21">
        <v>42598.873611111114</v>
      </c>
      <c r="F15" s="21">
        <v>42691.03125</v>
      </c>
      <c r="G15" s="22">
        <f t="shared" si="0"/>
        <v>92.15763888888614</v>
      </c>
    </row>
    <row r="16" spans="1:8" x14ac:dyDescent="0.25">
      <c r="A16" s="11"/>
      <c r="B16" s="9" t="s">
        <v>53</v>
      </c>
      <c r="C16" s="8">
        <v>42599</v>
      </c>
      <c r="D16" s="9" t="s">
        <v>43</v>
      </c>
      <c r="E16" s="21">
        <v>42599.357638888891</v>
      </c>
      <c r="F16" s="21">
        <v>42691.521527777775</v>
      </c>
      <c r="G16" s="22">
        <f t="shared" si="0"/>
        <v>92.163888888884685</v>
      </c>
    </row>
    <row r="17" spans="1:7" x14ac:dyDescent="0.25">
      <c r="A17" s="11"/>
      <c r="B17" s="9" t="s">
        <v>55</v>
      </c>
      <c r="C17" s="9"/>
      <c r="D17" s="9"/>
      <c r="E17" s="21">
        <v>42599.563194444447</v>
      </c>
      <c r="F17" s="21">
        <v>42691.576388888891</v>
      </c>
      <c r="G17" s="22">
        <f t="shared" si="0"/>
        <v>92.013194444443798</v>
      </c>
    </row>
    <row r="18" spans="1:7" x14ac:dyDescent="0.25">
      <c r="A18" s="11"/>
      <c r="B18" s="9" t="s">
        <v>56</v>
      </c>
      <c r="C18" s="8" t="s">
        <v>3</v>
      </c>
      <c r="D18" s="9" t="s">
        <v>3</v>
      </c>
      <c r="E18" s="21">
        <v>42599.728472222225</v>
      </c>
      <c r="F18" s="21">
        <v>42691.628472222219</v>
      </c>
      <c r="G18" s="22">
        <f t="shared" si="0"/>
        <v>91.899999999994179</v>
      </c>
    </row>
    <row r="19" spans="1:7" x14ac:dyDescent="0.25">
      <c r="A19" s="11"/>
      <c r="B19" s="9" t="s">
        <v>54</v>
      </c>
      <c r="C19" s="9"/>
      <c r="D19" s="9"/>
      <c r="E19" s="21">
        <v>42599.893750000003</v>
      </c>
      <c r="F19" s="21">
        <v>42691.681250000001</v>
      </c>
      <c r="G19" s="22">
        <f t="shared" si="0"/>
        <v>91.787499999998545</v>
      </c>
    </row>
    <row r="20" spans="1:7" x14ac:dyDescent="0.25">
      <c r="A20" s="11"/>
      <c r="B20" s="9" t="s">
        <v>42</v>
      </c>
      <c r="C20" s="8">
        <v>42600</v>
      </c>
      <c r="D20" s="9" t="s">
        <v>45</v>
      </c>
      <c r="E20" s="21">
        <v>42600.339583333334</v>
      </c>
      <c r="F20" s="21">
        <v>42691.736111111109</v>
      </c>
      <c r="G20" s="22">
        <f t="shared" si="0"/>
        <v>91.396527777775191</v>
      </c>
    </row>
    <row r="21" spans="1:7" x14ac:dyDescent="0.25">
      <c r="A21" s="11"/>
      <c r="B21" s="9" t="s">
        <v>44</v>
      </c>
      <c r="C21" s="8" t="s">
        <v>3</v>
      </c>
      <c r="D21" s="9" t="s">
        <v>3</v>
      </c>
      <c r="E21" s="21">
        <v>42600.859027777777</v>
      </c>
      <c r="F21" s="21">
        <v>42691.788888888892</v>
      </c>
      <c r="G21" s="22">
        <f t="shared" si="0"/>
        <v>90.929861111115315</v>
      </c>
    </row>
    <row r="22" spans="1:7" x14ac:dyDescent="0.25">
      <c r="A22" s="11"/>
      <c r="B22" s="9" t="s">
        <v>58</v>
      </c>
      <c r="C22" s="8">
        <v>42601</v>
      </c>
      <c r="D22" s="9" t="s">
        <v>35</v>
      </c>
      <c r="E22" s="21">
        <v>42601.328472222223</v>
      </c>
      <c r="F22" s="21">
        <v>42691.842361111114</v>
      </c>
      <c r="G22" s="22">
        <f t="shared" si="0"/>
        <v>90.513888888890506</v>
      </c>
    </row>
    <row r="23" spans="1:7" x14ac:dyDescent="0.25">
      <c r="A23" s="11"/>
      <c r="B23" s="9" t="s">
        <v>59</v>
      </c>
      <c r="C23" s="8" t="s">
        <v>3</v>
      </c>
      <c r="D23" s="9" t="s">
        <v>3</v>
      </c>
      <c r="E23" s="21">
        <v>42601.825694444444</v>
      </c>
      <c r="F23" s="21">
        <v>42692.39166666667</v>
      </c>
      <c r="G23" s="22">
        <f t="shared" si="0"/>
        <v>90.565972222226264</v>
      </c>
    </row>
    <row r="24" spans="1:7" x14ac:dyDescent="0.25">
      <c r="A24" s="12"/>
      <c r="B24" s="7" t="s">
        <v>72</v>
      </c>
      <c r="C24" s="23">
        <v>42627</v>
      </c>
      <c r="D24" s="7" t="s">
        <v>43</v>
      </c>
      <c r="E24" s="24">
        <v>42627.404861111114</v>
      </c>
      <c r="F24" s="24">
        <v>42692.442361111112</v>
      </c>
      <c r="G24" s="25">
        <f t="shared" si="0"/>
        <v>65.037499999998545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" sqref="F1"/>
    </sheetView>
  </sheetViews>
  <sheetFormatPr defaultRowHeight="15" x14ac:dyDescent="0.25"/>
  <cols>
    <col min="1" max="1" width="14" customWidth="1"/>
    <col min="2" max="2" width="13" customWidth="1"/>
    <col min="4" max="4" width="10.7109375" bestFit="1" customWidth="1"/>
    <col min="5" max="5" width="27.5703125" customWidth="1"/>
    <col min="6" max="6" width="14.42578125" customWidth="1"/>
    <col min="7" max="7" width="12.85546875" customWidth="1"/>
    <col min="8" max="8" width="14.7109375" customWidth="1"/>
    <col min="10" max="10" width="16.140625" customWidth="1"/>
    <col min="12" max="12" width="16.140625" customWidth="1"/>
    <col min="13" max="13" width="13.42578125" customWidth="1"/>
    <col min="22" max="22" width="21.7109375" customWidth="1"/>
    <col min="23" max="25" width="15.7109375" customWidth="1"/>
  </cols>
  <sheetData>
    <row r="1" spans="1:5" x14ac:dyDescent="0.25">
      <c r="A1" t="s">
        <v>0</v>
      </c>
      <c r="D1" t="s">
        <v>1</v>
      </c>
    </row>
    <row r="3" spans="1:5" x14ac:dyDescent="0.25">
      <c r="A3" t="s">
        <v>2</v>
      </c>
    </row>
    <row r="4" spans="1:5" x14ac:dyDescent="0.25">
      <c r="A4" s="1" t="s">
        <v>3</v>
      </c>
    </row>
    <row r="5" spans="1:5" ht="45" x14ac:dyDescent="0.25">
      <c r="A5" s="2" t="s">
        <v>4</v>
      </c>
      <c r="B5" s="3" t="s">
        <v>5</v>
      </c>
      <c r="C5" s="3" t="s">
        <v>6</v>
      </c>
      <c r="D5" s="3" t="s">
        <v>7</v>
      </c>
      <c r="E5" s="4" t="s">
        <v>8</v>
      </c>
    </row>
    <row r="6" spans="1:5" ht="29.25" customHeight="1" x14ac:dyDescent="0.25">
      <c r="A6" s="5" t="s">
        <v>9</v>
      </c>
      <c r="B6" s="4" t="s">
        <v>10</v>
      </c>
      <c r="C6" s="4">
        <v>72.057000000000002</v>
      </c>
      <c r="D6" s="4" t="s">
        <v>11</v>
      </c>
      <c r="E6" s="4" t="s">
        <v>12</v>
      </c>
    </row>
    <row r="7" spans="1:5" ht="30.75" customHeight="1" x14ac:dyDescent="0.25">
      <c r="A7" s="5" t="s">
        <v>13</v>
      </c>
      <c r="B7" s="4" t="s">
        <v>14</v>
      </c>
      <c r="C7" s="4">
        <v>74.072599999999994</v>
      </c>
      <c r="D7" s="4" t="s">
        <v>15</v>
      </c>
      <c r="E7" s="4" t="s">
        <v>16</v>
      </c>
    </row>
    <row r="8" spans="1:5" ht="45.75" customHeight="1" x14ac:dyDescent="0.25">
      <c r="A8" s="5" t="s">
        <v>17</v>
      </c>
      <c r="B8" s="4" t="s">
        <v>18</v>
      </c>
      <c r="C8" s="4">
        <v>100.0883</v>
      </c>
      <c r="D8" s="4" t="s">
        <v>19</v>
      </c>
      <c r="E8" s="4" t="s">
        <v>20</v>
      </c>
    </row>
    <row r="9" spans="1:5" ht="33.75" customHeight="1" x14ac:dyDescent="0.25">
      <c r="A9" s="5" t="s">
        <v>21</v>
      </c>
      <c r="B9" s="4" t="s">
        <v>18</v>
      </c>
      <c r="C9" s="4">
        <v>100.0883</v>
      </c>
      <c r="D9" s="4" t="s">
        <v>22</v>
      </c>
      <c r="E9" s="4" t="s">
        <v>23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S012</vt:lpstr>
      <vt:lpstr>S014</vt:lpstr>
      <vt:lpstr>S023</vt:lpstr>
      <vt:lpstr>S025</vt:lpstr>
      <vt:lpstr>S028</vt:lpstr>
      <vt:lpstr>S030</vt:lpstr>
      <vt:lpstr>S013</vt:lpstr>
      <vt:lpstr>Ambient air R1</vt:lpstr>
      <vt:lpstr>Ambient air R3</vt:lpstr>
      <vt:lpstr>Ambient Air R4</vt:lpstr>
      <vt:lpstr>EPA standards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Cassells, Julie (L&amp;W, Black Mountain)</dc:creator>
  <cp:lastModifiedBy>Berna, Amalia</cp:lastModifiedBy>
  <cp:lastPrinted>2017-03-21T06:00:00Z</cp:lastPrinted>
  <dcterms:created xsi:type="dcterms:W3CDTF">2016-08-17T04:20:06Z</dcterms:created>
  <dcterms:modified xsi:type="dcterms:W3CDTF">2018-07-10T19:11:24Z</dcterms:modified>
</cp:coreProperties>
</file>